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kla-my.sharepoint.com/personal/tyler_seawright_kla_com/Documents/Documents/ASPE ERROR BUDGET 2025/Matlab/Active/"/>
    </mc:Choice>
  </mc:AlternateContent>
  <xr:revisionPtr revIDLastSave="3742" documentId="14_{124E1256-161A-47F0-9292-96BB218273F7}" xr6:coauthVersionLast="47" xr6:coauthVersionMax="47" xr10:uidLastSave="{22EBBC01-393A-47E3-AA25-DCAE342BA4EE}"/>
  <bookViews>
    <workbookView xWindow="-120" yWindow="-120" windowWidth="29040" windowHeight="15840" activeTab="1" xr2:uid="{00000000-000D-0000-FFFF-FFFF00000000}"/>
  </bookViews>
  <sheets>
    <sheet name="TolStack" sheetId="3" r:id="rId1"/>
    <sheet name="TS_Stack" sheetId="11" r:id="rId2"/>
    <sheet name="TEST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1" l="1"/>
  <c r="C22" i="11" s="1"/>
  <c r="F17" i="11"/>
  <c r="H17" i="11"/>
  <c r="G17" i="11"/>
  <c r="E17" i="11"/>
  <c r="E22" i="11" s="1"/>
  <c r="D17" i="11"/>
  <c r="D22" i="11" s="1"/>
  <c r="U14" i="11"/>
  <c r="C18" i="11"/>
  <c r="D18" i="11"/>
  <c r="E18" i="11"/>
  <c r="F18" i="11"/>
  <c r="G18" i="11"/>
  <c r="H18" i="11"/>
  <c r="D19" i="11"/>
  <c r="E19" i="11"/>
  <c r="F19" i="11"/>
  <c r="G19" i="11"/>
  <c r="H19" i="11"/>
  <c r="C19" i="11"/>
  <c r="D14" i="11"/>
  <c r="E14" i="11"/>
  <c r="F14" i="11"/>
  <c r="G14" i="11"/>
  <c r="H14" i="11"/>
  <c r="C14" i="11"/>
  <c r="Q26" i="12"/>
  <c r="P26" i="12"/>
  <c r="O26" i="12"/>
  <c r="N26" i="12"/>
  <c r="M26" i="12"/>
  <c r="L26" i="12"/>
  <c r="K26" i="12"/>
  <c r="Q25" i="12"/>
  <c r="P25" i="12"/>
  <c r="O25" i="12"/>
  <c r="N25" i="12"/>
  <c r="M25" i="12"/>
  <c r="L25" i="12"/>
  <c r="K25" i="12"/>
  <c r="F16" i="11"/>
  <c r="H16" i="11"/>
  <c r="G16" i="11"/>
  <c r="Q38" i="11"/>
  <c r="P38" i="11"/>
  <c r="O38" i="11"/>
  <c r="N38" i="11"/>
  <c r="M38" i="11"/>
  <c r="L38" i="11"/>
  <c r="K38" i="11"/>
  <c r="Q37" i="11"/>
  <c r="P37" i="11"/>
  <c r="O37" i="11"/>
  <c r="N37" i="11"/>
  <c r="M37" i="11"/>
  <c r="L37" i="11"/>
  <c r="K37" i="11"/>
  <c r="B5" i="3"/>
  <c r="H22" i="11" l="1"/>
  <c r="F22" i="11"/>
  <c r="G22" i="11"/>
</calcChain>
</file>

<file path=xl/sharedStrings.xml><?xml version="1.0" encoding="utf-8"?>
<sst xmlns="http://schemas.openxmlformats.org/spreadsheetml/2006/main" count="256" uniqueCount="85">
  <si>
    <t>Name</t>
  </si>
  <si>
    <t>Value</t>
  </si>
  <si>
    <t>Unit</t>
  </si>
  <si>
    <t>um</t>
  </si>
  <si>
    <t>Summary</t>
  </si>
  <si>
    <t>Mechanical Tolerance Stack</t>
  </si>
  <si>
    <t>Notes</t>
  </si>
  <si>
    <t>Vector Name</t>
  </si>
  <si>
    <t>X</t>
  </si>
  <si>
    <t>Y</t>
  </si>
  <si>
    <t>Z</t>
  </si>
  <si>
    <t>Tx</t>
  </si>
  <si>
    <t>Ty</t>
  </si>
  <si>
    <t>Tz</t>
  </si>
  <si>
    <t>R1</t>
  </si>
  <si>
    <t>Position (mm)</t>
  </si>
  <si>
    <t>Angle (rad)</t>
  </si>
  <si>
    <t>C1</t>
  </si>
  <si>
    <t>COMPENSATOR</t>
  </si>
  <si>
    <t>NOMINAL VECTOR PATH</t>
  </si>
  <si>
    <t>C</t>
  </si>
  <si>
    <t>RANDOM ERROR TERMS</t>
  </si>
  <si>
    <t>Angle (mdeg)</t>
  </si>
  <si>
    <t>Position (um)</t>
  </si>
  <si>
    <t>Vector Tag</t>
  </si>
  <si>
    <t>R</t>
  </si>
  <si>
    <t>RESULT</t>
  </si>
  <si>
    <t>R2</t>
  </si>
  <si>
    <t>R3</t>
  </si>
  <si>
    <t>Re</t>
  </si>
  <si>
    <t>TolStack</t>
  </si>
  <si>
    <t>Re_A_B</t>
  </si>
  <si>
    <t>Error Summary</t>
  </si>
  <si>
    <t>R1e</t>
  </si>
  <si>
    <t>R2e</t>
  </si>
  <si>
    <t>R3e</t>
  </si>
  <si>
    <t>MONTECARLO CONFIG</t>
  </si>
  <si>
    <t>MC_Samples</t>
  </si>
  <si>
    <t>N_SAMPLES</t>
  </si>
  <si>
    <t>Samples</t>
  </si>
  <si>
    <t>N_SIGMA</t>
  </si>
  <si>
    <t>Standard Deviations</t>
  </si>
  <si>
    <t>Sigma</t>
  </si>
  <si>
    <t>SIMULATION RESULTS</t>
  </si>
  <si>
    <t>C1v</t>
  </si>
  <si>
    <t>Cv</t>
  </si>
  <si>
    <t>Corrector</t>
  </si>
  <si>
    <t>Corrector Vector</t>
  </si>
  <si>
    <t>NOMINAL VECTOR PATHS</t>
  </si>
  <si>
    <t>Summary Table</t>
  </si>
  <si>
    <t>C3_1</t>
  </si>
  <si>
    <t>C3v_1</t>
  </si>
  <si>
    <t>PLOT</t>
  </si>
  <si>
    <t>NAME</t>
  </si>
  <si>
    <t>Plotting</t>
  </si>
  <si>
    <t>Input Distribution Type</t>
  </si>
  <si>
    <t>N</t>
  </si>
  <si>
    <t>DISTRIBUTION</t>
  </si>
  <si>
    <t>Normal</t>
  </si>
  <si>
    <t>LOAD</t>
  </si>
  <si>
    <t>R-AB</t>
  </si>
  <si>
    <t>TolStack_SC</t>
  </si>
  <si>
    <t>R_BC</t>
  </si>
  <si>
    <t>R_AB</t>
  </si>
  <si>
    <t>Origin Error</t>
  </si>
  <si>
    <t>Rigid body error transform</t>
  </si>
  <si>
    <t>SENSITIVITY k</t>
  </si>
  <si>
    <t>R_AB_e (mm)</t>
  </si>
  <si>
    <t>Re_BC_e (mm)</t>
  </si>
  <si>
    <t>Rigid body Transform</t>
  </si>
  <si>
    <t>CS2</t>
  </si>
  <si>
    <t>CS3</t>
  </si>
  <si>
    <t>CS4</t>
  </si>
  <si>
    <t>CS5</t>
  </si>
  <si>
    <t>CS6 (Ref Origin)</t>
  </si>
  <si>
    <t>CS1</t>
  </si>
  <si>
    <t>Reflector is Origin</t>
  </si>
  <si>
    <t>CS6</t>
  </si>
  <si>
    <t>Spring Center of Stiffness</t>
  </si>
  <si>
    <t>Newtons</t>
  </si>
  <si>
    <t>CS0</t>
  </si>
  <si>
    <t>Global Rotation</t>
  </si>
  <si>
    <t>Newton/mm or Nmm/rad
If Fx is supported by motor, kx is ks_x || k_m</t>
  </si>
  <si>
    <t>K_m (Est)</t>
  </si>
  <si>
    <t>Optosensor insensitive to Y, Z, And Rz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</si>
</sst>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5" fillId="0" borderId="5"/>
    <xf numFmtId="0" fontId="5" fillId="0" borderId="6"/>
    <xf numFmtId="9" fontId="5" fillId="0" borderId="0" applyFont="0" applyFill="0" applyBorder="0" applyAlignment="0" applyProtection="0"/>
    <xf numFmtId="0" fontId="5" fillId="0" borderId="9"/>
    <xf numFmtId="0" fontId="5" fillId="0" borderId="10"/>
  </cellStyleXfs>
  <cellXfs count="6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3" fillId="0" borderId="1" xfId="0" applyFont="1" applyBorder="1" applyAlignment="1">
      <alignment wrapText="1"/>
    </xf>
    <xf numFmtId="164" fontId="0" fillId="0" borderId="0" xfId="0" applyNumberFormat="1"/>
    <xf numFmtId="0" fontId="0" fillId="2" borderId="0" xfId="0" applyFill="1" applyAlignment="1">
      <alignment wrapText="1"/>
    </xf>
    <xf numFmtId="166" fontId="0" fillId="4" borderId="1" xfId="3" applyNumberFormat="1" applyFont="1" applyFill="1" applyBorder="1"/>
    <xf numFmtId="1" fontId="0" fillId="4" borderId="1" xfId="0" applyNumberFormat="1" applyFill="1" applyBorder="1"/>
    <xf numFmtId="0" fontId="0" fillId="0" borderId="7" xfId="0" applyBorder="1"/>
    <xf numFmtId="0" fontId="0" fillId="5" borderId="0" xfId="0" applyFill="1" applyAlignment="1">
      <alignment wrapText="1"/>
    </xf>
    <xf numFmtId="164" fontId="0" fillId="5" borderId="0" xfId="0" applyNumberFormat="1" applyFill="1"/>
    <xf numFmtId="0" fontId="0" fillId="5" borderId="6" xfId="0" applyFill="1" applyBorder="1" applyAlignment="1">
      <alignment wrapText="1"/>
    </xf>
    <xf numFmtId="0" fontId="3" fillId="6" borderId="0" xfId="0" applyFont="1" applyFill="1"/>
    <xf numFmtId="11" fontId="0" fillId="6" borderId="0" xfId="0" applyNumberFormat="1" applyFill="1"/>
    <xf numFmtId="0" fontId="0" fillId="7" borderId="0" xfId="0" applyFill="1" applyAlignment="1">
      <alignment wrapText="1"/>
    </xf>
    <xf numFmtId="165" fontId="0" fillId="7" borderId="0" xfId="0" applyNumberFormat="1" applyFill="1"/>
    <xf numFmtId="0" fontId="0" fillId="7" borderId="0" xfId="0" applyFill="1"/>
    <xf numFmtId="0" fontId="0" fillId="0" borderId="8" xfId="0" applyBorder="1"/>
    <xf numFmtId="0" fontId="3" fillId="0" borderId="2" xfId="0" applyFont="1" applyBorder="1" applyAlignment="1">
      <alignment wrapText="1"/>
    </xf>
    <xf numFmtId="0" fontId="0" fillId="6" borderId="0" xfId="0" applyFill="1"/>
    <xf numFmtId="0" fontId="0" fillId="5" borderId="9" xfId="0" applyFill="1" applyBorder="1" applyAlignment="1">
      <alignment wrapText="1"/>
    </xf>
    <xf numFmtId="0" fontId="0" fillId="8" borderId="0" xfId="0" applyFill="1" applyAlignment="1">
      <alignment wrapText="1"/>
    </xf>
    <xf numFmtId="0" fontId="0" fillId="8" borderId="6" xfId="0" applyFill="1" applyBorder="1" applyAlignment="1">
      <alignment wrapText="1"/>
    </xf>
    <xf numFmtId="0" fontId="0" fillId="8" borderId="9" xfId="0" applyFill="1" applyBorder="1" applyAlignment="1">
      <alignment wrapText="1"/>
    </xf>
    <xf numFmtId="11" fontId="0" fillId="8" borderId="0" xfId="0" applyNumberFormat="1" applyFill="1"/>
    <xf numFmtId="0" fontId="2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0" fillId="9" borderId="0" xfId="0" applyFill="1" applyAlignment="1">
      <alignment wrapText="1"/>
    </xf>
    <xf numFmtId="0" fontId="0" fillId="9" borderId="0" xfId="0" applyFill="1"/>
    <xf numFmtId="0" fontId="0" fillId="10" borderId="0" xfId="0" applyFill="1" applyAlignment="1">
      <alignment wrapText="1"/>
    </xf>
    <xf numFmtId="164" fontId="0" fillId="10" borderId="0" xfId="0" applyNumberFormat="1" applyFill="1"/>
    <xf numFmtId="0" fontId="0" fillId="10" borderId="6" xfId="0" applyFill="1" applyBorder="1" applyAlignment="1">
      <alignment wrapText="1"/>
    </xf>
    <xf numFmtId="0" fontId="0" fillId="11" borderId="0" xfId="0" applyFill="1" applyAlignment="1">
      <alignment wrapText="1"/>
    </xf>
    <xf numFmtId="11" fontId="0" fillId="11" borderId="0" xfId="0" applyNumberFormat="1" applyFill="1"/>
    <xf numFmtId="0" fontId="0" fillId="11" borderId="6" xfId="0" applyFill="1" applyBorder="1" applyAlignment="1">
      <alignment wrapText="1"/>
    </xf>
    <xf numFmtId="0" fontId="0" fillId="12" borderId="0" xfId="0" applyFill="1" applyAlignment="1">
      <alignment wrapText="1"/>
    </xf>
    <xf numFmtId="0" fontId="0" fillId="12" borderId="0" xfId="0" applyFill="1"/>
    <xf numFmtId="0" fontId="0" fillId="13" borderId="0" xfId="0" applyFill="1" applyAlignment="1">
      <alignment wrapText="1"/>
    </xf>
    <xf numFmtId="165" fontId="0" fillId="13" borderId="0" xfId="0" applyNumberFormat="1" applyFill="1"/>
    <xf numFmtId="0" fontId="0" fillId="13" borderId="0" xfId="0" applyFill="1"/>
    <xf numFmtId="0" fontId="3" fillId="14" borderId="0" xfId="0" applyFont="1" applyFill="1"/>
    <xf numFmtId="0" fontId="0" fillId="14" borderId="0" xfId="0" applyFill="1"/>
    <xf numFmtId="11" fontId="0" fillId="14" borderId="0" xfId="0" applyNumberFormat="1" applyFill="1"/>
    <xf numFmtId="11" fontId="0" fillId="0" borderId="0" xfId="0" applyNumberFormat="1"/>
    <xf numFmtId="0" fontId="0" fillId="0" borderId="10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12" borderId="0" xfId="0" applyFill="1" applyAlignment="1">
      <alignment horizontal="right"/>
    </xf>
    <xf numFmtId="11" fontId="0" fillId="12" borderId="0" xfId="0" applyNumberFormat="1" applyFill="1"/>
    <xf numFmtId="0" fontId="0" fillId="15" borderId="0" xfId="0" applyFill="1" applyAlignment="1">
      <alignment wrapText="1"/>
    </xf>
    <xf numFmtId="0" fontId="0" fillId="15" borderId="0" xfId="0" applyFill="1"/>
    <xf numFmtId="11" fontId="0" fillId="15" borderId="0" xfId="0" applyNumberFormat="1" applyFill="1"/>
    <xf numFmtId="0" fontId="0" fillId="10" borderId="10" xfId="0" applyFill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9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12" borderId="0" xfId="0" applyFill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4" xfId="4" xr:uid="{00000000-0005-0000-0000-000003000000}"/>
    <cellStyle name="Normal 5" xfId="5" xr:uid="{477C48CC-6DB0-4A7F-984D-62004635C24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71</xdr:row>
      <xdr:rowOff>0</xdr:rowOff>
    </xdr:from>
    <xdr:to>
      <xdr:col>8</xdr:col>
      <xdr:colOff>1593850</xdr:colOff>
      <xdr:row>91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E62C7E-743A-50D1-3149-12B91B305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3716000"/>
          <a:ext cx="508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8</xdr:col>
      <xdr:colOff>1593850</xdr:colOff>
      <xdr:row>111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4250E2-07D2-E95A-0A59-1B1EC6EC1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7526000"/>
          <a:ext cx="5080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18</xdr:row>
      <xdr:rowOff>85725</xdr:rowOff>
    </xdr:from>
    <xdr:to>
      <xdr:col>19</xdr:col>
      <xdr:colOff>142645</xdr:colOff>
      <xdr:row>22</xdr:row>
      <xdr:rowOff>171344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6EE0B-D10D-A11F-14CD-78E735FF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1775" y="3705225"/>
          <a:ext cx="1838095" cy="8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7</xdr:row>
      <xdr:rowOff>133350</xdr:rowOff>
    </xdr:from>
    <xdr:to>
      <xdr:col>19</xdr:col>
      <xdr:colOff>304570</xdr:colOff>
      <xdr:row>12</xdr:row>
      <xdr:rowOff>28469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D71127-D3BD-446C-9E3B-901A4200D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8825" y="1466850"/>
          <a:ext cx="1838095" cy="8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 KLA Default">
  <a:themeElements>
    <a:clrScheme name="KLA colorset">
      <a:dk1>
        <a:srgbClr val="0C0C12"/>
      </a:dk1>
      <a:lt1>
        <a:srgbClr val="FFFFFF"/>
      </a:lt1>
      <a:dk2>
        <a:srgbClr val="41007F"/>
      </a:dk2>
      <a:lt2>
        <a:srgbClr val="5A5A64"/>
      </a:lt2>
      <a:accent1>
        <a:srgbClr val="50DD3F"/>
      </a:accent1>
      <a:accent2>
        <a:srgbClr val="FF6400"/>
      </a:accent2>
      <a:accent3>
        <a:srgbClr val="00A7E1"/>
      </a:accent3>
      <a:accent4>
        <a:srgbClr val="FFAF00"/>
      </a:accent4>
      <a:accent5>
        <a:srgbClr val="F01E69"/>
      </a:accent5>
      <a:accent6>
        <a:srgbClr val="AA1DD5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>
          <a:solidFill>
            <a:schemeClr val="bg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 anchor="ctr">
        <a:noAutofit/>
      </a:bodyPr>
      <a:lstStyle>
        <a:defPPr algn="l">
          <a:defRPr dirty="0"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Presentation2" id="{4B5445C8-26A6-4D79-9C1D-8CC35F431293}" vid="{CE671869-F172-442C-ACF5-F3CE9D8E777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759-7A85-48D6-A0CE-4736F6C313A0}">
  <dimension ref="A1:I46"/>
  <sheetViews>
    <sheetView zoomScale="88" zoomScaleNormal="85" workbookViewId="0">
      <selection activeCell="B37" sqref="B37"/>
    </sheetView>
  </sheetViews>
  <sheetFormatPr defaultRowHeight="15" x14ac:dyDescent="0.25"/>
  <cols>
    <col min="1" max="2" width="31.5703125" style="1" customWidth="1"/>
    <col min="3" max="8" width="8.7109375" bestFit="1" customWidth="1"/>
    <col min="9" max="9" width="31" customWidth="1"/>
  </cols>
  <sheetData>
    <row r="1" spans="1:9" x14ac:dyDescent="0.25">
      <c r="A1" s="3" t="s">
        <v>30</v>
      </c>
      <c r="B1" s="3"/>
    </row>
    <row r="3" spans="1:9" x14ac:dyDescent="0.25">
      <c r="A3" s="9" t="s">
        <v>4</v>
      </c>
      <c r="B3" s="6"/>
      <c r="C3" s="6"/>
      <c r="D3" s="6"/>
      <c r="E3" s="6"/>
      <c r="F3" s="6"/>
      <c r="G3" s="6"/>
      <c r="I3" s="26"/>
    </row>
    <row r="4" spans="1:9" s="1" customFormat="1" x14ac:dyDescent="0.25">
      <c r="A4" s="8" t="s">
        <v>0</v>
      </c>
      <c r="B4" s="8" t="s">
        <v>1</v>
      </c>
      <c r="C4" s="8" t="s">
        <v>2</v>
      </c>
      <c r="D4" s="8"/>
      <c r="E4" s="34"/>
      <c r="F4" s="34"/>
      <c r="G4" s="34"/>
    </row>
    <row r="5" spans="1:9" ht="30" customHeight="1" x14ac:dyDescent="0.25">
      <c r="A5" s="10" t="s">
        <v>32</v>
      </c>
      <c r="B5" s="16">
        <f>SQRT(SUMSQ(C31:E31))</f>
        <v>3.0154546612597409E-3</v>
      </c>
      <c r="C5" s="11" t="s">
        <v>3</v>
      </c>
      <c r="D5" s="15"/>
      <c r="E5" s="35"/>
      <c r="F5" s="35"/>
      <c r="G5" s="35"/>
    </row>
    <row r="8" spans="1:9" x14ac:dyDescent="0.25">
      <c r="A8" s="2" t="s">
        <v>5</v>
      </c>
      <c r="B8" s="2"/>
      <c r="C8" s="13"/>
      <c r="D8" s="13"/>
      <c r="E8" s="13"/>
      <c r="F8" s="13"/>
      <c r="G8" s="13"/>
      <c r="H8" s="13"/>
    </row>
    <row r="9" spans="1:9" x14ac:dyDescent="0.25">
      <c r="A9" s="4" t="s">
        <v>19</v>
      </c>
      <c r="B9" s="4"/>
      <c r="C9" s="5"/>
      <c r="D9" s="5"/>
      <c r="E9" s="5"/>
      <c r="F9" s="5"/>
      <c r="G9" s="5"/>
      <c r="H9" s="5"/>
      <c r="I9" s="5"/>
    </row>
    <row r="10" spans="1:9" x14ac:dyDescent="0.25">
      <c r="A10" s="7"/>
      <c r="B10" s="7"/>
      <c r="C10" s="66" t="s">
        <v>15</v>
      </c>
      <c r="D10" s="66"/>
      <c r="E10" s="66"/>
      <c r="F10" s="66" t="s">
        <v>16</v>
      </c>
      <c r="G10" s="66"/>
      <c r="H10" s="66"/>
      <c r="I10" s="6"/>
    </row>
    <row r="11" spans="1:9" x14ac:dyDescent="0.25">
      <c r="A11" s="7" t="s">
        <v>7</v>
      </c>
      <c r="B11" s="7" t="s">
        <v>24</v>
      </c>
      <c r="C11" s="6" t="s">
        <v>8</v>
      </c>
      <c r="D11" s="6" t="s">
        <v>9</v>
      </c>
      <c r="E11" s="6" t="s">
        <v>10</v>
      </c>
      <c r="F11" s="6" t="s">
        <v>11</v>
      </c>
      <c r="G11" s="6" t="s">
        <v>12</v>
      </c>
      <c r="H11" s="6" t="s">
        <v>13</v>
      </c>
      <c r="I11" s="17" t="s">
        <v>6</v>
      </c>
    </row>
    <row r="12" spans="1:9" x14ac:dyDescent="0.25">
      <c r="A12" s="18" t="s">
        <v>14</v>
      </c>
      <c r="B12" s="18" t="s">
        <v>25</v>
      </c>
      <c r="C12" s="19">
        <v>1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20"/>
    </row>
    <row r="13" spans="1:9" x14ac:dyDescent="0.25">
      <c r="A13" s="18" t="s">
        <v>27</v>
      </c>
      <c r="B13" s="18" t="s">
        <v>25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29"/>
    </row>
    <row r="14" spans="1:9" x14ac:dyDescent="0.25">
      <c r="A14" s="18" t="s">
        <v>28</v>
      </c>
      <c r="B14" s="18" t="s">
        <v>25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29"/>
    </row>
    <row r="15" spans="1:9" x14ac:dyDescent="0.25">
      <c r="A15" s="4" t="s">
        <v>21</v>
      </c>
      <c r="B15" s="4"/>
      <c r="C15" s="5"/>
      <c r="D15" s="5"/>
      <c r="E15" s="5"/>
      <c r="F15" s="5"/>
      <c r="G15" s="5"/>
      <c r="H15" s="5"/>
      <c r="I15" s="14"/>
    </row>
    <row r="16" spans="1:9" x14ac:dyDescent="0.25">
      <c r="A16" s="30" t="s">
        <v>33</v>
      </c>
      <c r="B16" s="30" t="s">
        <v>29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1.7000000000000001E-2</v>
      </c>
      <c r="I16" s="31"/>
    </row>
    <row r="17" spans="1:9" x14ac:dyDescent="0.25">
      <c r="A17" s="30" t="s">
        <v>34</v>
      </c>
      <c r="B17" s="30" t="s">
        <v>29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2"/>
    </row>
    <row r="18" spans="1:9" x14ac:dyDescent="0.25">
      <c r="A18" s="30" t="s">
        <v>35</v>
      </c>
      <c r="B18" s="30" t="s">
        <v>29</v>
      </c>
      <c r="C18" s="33">
        <v>0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2"/>
    </row>
    <row r="19" spans="1:9" x14ac:dyDescent="0.25">
      <c r="A19" s="4" t="s">
        <v>18</v>
      </c>
      <c r="B19" s="4"/>
      <c r="C19" s="5"/>
      <c r="D19" s="5"/>
      <c r="E19" s="5"/>
      <c r="F19" s="5"/>
      <c r="G19" s="5"/>
      <c r="H19" s="5"/>
      <c r="I19" s="5"/>
    </row>
    <row r="20" spans="1:9" x14ac:dyDescent="0.25">
      <c r="A20" s="7"/>
      <c r="B20" s="7"/>
      <c r="C20" s="66" t="s">
        <v>15</v>
      </c>
      <c r="D20" s="66"/>
      <c r="E20" s="66"/>
      <c r="F20" s="66" t="s">
        <v>16</v>
      </c>
      <c r="G20" s="66"/>
      <c r="H20" s="66"/>
      <c r="I20" s="6"/>
    </row>
    <row r="21" spans="1:9" x14ac:dyDescent="0.25">
      <c r="A21" s="7" t="s">
        <v>7</v>
      </c>
      <c r="B21" s="7" t="s">
        <v>24</v>
      </c>
      <c r="C21" s="6" t="s">
        <v>8</v>
      </c>
      <c r="D21" s="6" t="s">
        <v>9</v>
      </c>
      <c r="E21" s="6" t="s">
        <v>10</v>
      </c>
      <c r="F21" s="6" t="s">
        <v>11</v>
      </c>
      <c r="G21" s="6" t="s">
        <v>12</v>
      </c>
      <c r="H21" s="6" t="s">
        <v>13</v>
      </c>
      <c r="I21" s="6" t="s">
        <v>6</v>
      </c>
    </row>
    <row r="22" spans="1:9" x14ac:dyDescent="0.25">
      <c r="A22" s="23" t="s">
        <v>17</v>
      </c>
      <c r="B22" s="23" t="s">
        <v>20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1E-3</v>
      </c>
      <c r="I22" s="25" t="s">
        <v>46</v>
      </c>
    </row>
    <row r="23" spans="1:9" x14ac:dyDescent="0.25">
      <c r="A23" s="23" t="s">
        <v>44</v>
      </c>
      <c r="B23" s="23" t="s">
        <v>45</v>
      </c>
      <c r="C23" s="24">
        <v>1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5" t="s">
        <v>47</v>
      </c>
    </row>
    <row r="24" spans="1:9" x14ac:dyDescent="0.25">
      <c r="A24" s="4" t="s">
        <v>36</v>
      </c>
      <c r="B24" s="4"/>
      <c r="C24" s="5"/>
      <c r="D24" s="5"/>
      <c r="E24" s="5"/>
      <c r="F24" s="5"/>
      <c r="G24" s="5"/>
      <c r="H24" s="5"/>
      <c r="I24" s="5"/>
    </row>
    <row r="25" spans="1:9" x14ac:dyDescent="0.25">
      <c r="A25" s="7" t="s">
        <v>7</v>
      </c>
      <c r="B25" s="7" t="s">
        <v>24</v>
      </c>
      <c r="C25" s="7" t="s">
        <v>1</v>
      </c>
      <c r="D25" s="67" t="s">
        <v>2</v>
      </c>
      <c r="E25" s="67"/>
    </row>
    <row r="26" spans="1:9" x14ac:dyDescent="0.25">
      <c r="A26" s="36" t="s">
        <v>37</v>
      </c>
      <c r="B26" s="36" t="s">
        <v>38</v>
      </c>
      <c r="C26" s="37">
        <v>1000</v>
      </c>
      <c r="D26" s="62" t="s">
        <v>39</v>
      </c>
      <c r="E26" s="62"/>
    </row>
    <row r="27" spans="1:9" x14ac:dyDescent="0.25">
      <c r="A27" s="36" t="s">
        <v>42</v>
      </c>
      <c r="B27" s="36" t="s">
        <v>40</v>
      </c>
      <c r="C27" s="37">
        <v>3</v>
      </c>
      <c r="D27" s="62" t="s">
        <v>41</v>
      </c>
      <c r="E27" s="62"/>
    </row>
    <row r="28" spans="1:9" x14ac:dyDescent="0.25">
      <c r="A28" s="4" t="s">
        <v>43</v>
      </c>
      <c r="B28" s="4"/>
      <c r="C28" s="5"/>
      <c r="D28" s="5"/>
      <c r="E28" s="5"/>
      <c r="F28" s="5"/>
      <c r="G28" s="5"/>
      <c r="H28" s="5"/>
      <c r="I28" s="5"/>
    </row>
    <row r="29" spans="1:9" x14ac:dyDescent="0.25">
      <c r="A29" s="12"/>
      <c r="B29" s="27"/>
      <c r="C29" s="63" t="s">
        <v>23</v>
      </c>
      <c r="D29" s="64"/>
      <c r="E29" s="65"/>
      <c r="F29" s="63" t="s">
        <v>22</v>
      </c>
      <c r="G29" s="64"/>
      <c r="H29" s="65"/>
      <c r="I29" s="6"/>
    </row>
    <row r="30" spans="1:9" x14ac:dyDescent="0.25">
      <c r="A30" s="7" t="s">
        <v>7</v>
      </c>
      <c r="B30" s="7" t="s">
        <v>24</v>
      </c>
      <c r="C30" s="6" t="s">
        <v>8</v>
      </c>
      <c r="D30" s="6" t="s">
        <v>9</v>
      </c>
      <c r="E30" s="6" t="s">
        <v>10</v>
      </c>
      <c r="F30" s="6" t="s">
        <v>11</v>
      </c>
      <c r="G30" s="6" t="s">
        <v>12</v>
      </c>
      <c r="H30" s="6" t="s">
        <v>13</v>
      </c>
      <c r="I30" s="6" t="s">
        <v>6</v>
      </c>
    </row>
    <row r="31" spans="1:9" x14ac:dyDescent="0.25">
      <c r="A31" s="21" t="s">
        <v>31</v>
      </c>
      <c r="B31" s="28" t="s">
        <v>26</v>
      </c>
      <c r="C31" s="22">
        <v>4.6450356831585827E-6</v>
      </c>
      <c r="D31" s="22">
        <v>3.0154510836285509E-3</v>
      </c>
      <c r="E31" s="22">
        <v>0</v>
      </c>
      <c r="F31" s="22">
        <v>0</v>
      </c>
      <c r="G31" s="22">
        <v>0</v>
      </c>
      <c r="H31" s="22">
        <v>3.0154612343612072E-3</v>
      </c>
      <c r="I31" s="22"/>
    </row>
    <row r="34" spans="3:8" x14ac:dyDescent="0.25"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46" spans="3:8" x14ac:dyDescent="0.25"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</sheetData>
  <mergeCells count="9">
    <mergeCell ref="D27:E27"/>
    <mergeCell ref="C29:E29"/>
    <mergeCell ref="F29:H29"/>
    <mergeCell ref="C10:E10"/>
    <mergeCell ref="F10:H10"/>
    <mergeCell ref="C20:E20"/>
    <mergeCell ref="F20:H20"/>
    <mergeCell ref="D25:E25"/>
    <mergeCell ref="D26:E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6264-B8FF-4DB6-868E-77C26B45CBF7}">
  <dimension ref="A1:U40"/>
  <sheetViews>
    <sheetView tabSelected="1" topLeftCell="A7" zoomScaleNormal="100" workbookViewId="0">
      <selection activeCell="E18" sqref="A5:Q40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10.5703125" bestFit="1" customWidth="1"/>
    <col min="9" max="9" width="44.5703125" bestFit="1" customWidth="1"/>
    <col min="11" max="11" width="14.7109375" hidden="1" customWidth="1"/>
    <col min="12" max="17" width="0" hidden="1" customWidth="1"/>
    <col min="21" max="21" width="11" bestFit="1" customWidth="1"/>
  </cols>
  <sheetData>
    <row r="1" spans="1:21" x14ac:dyDescent="0.25">
      <c r="A1" s="3" t="s">
        <v>61</v>
      </c>
      <c r="B1" s="3"/>
    </row>
    <row r="4" spans="1:21" x14ac:dyDescent="0.25">
      <c r="A4" s="2"/>
      <c r="B4" s="2"/>
      <c r="C4" s="13"/>
      <c r="D4" s="13"/>
      <c r="E4" s="13"/>
      <c r="F4" s="13"/>
      <c r="G4" s="13"/>
      <c r="H4" s="13"/>
    </row>
    <row r="5" spans="1:21" x14ac:dyDescent="0.25">
      <c r="A5" s="4" t="s">
        <v>48</v>
      </c>
      <c r="B5" s="4"/>
      <c r="C5" s="5"/>
      <c r="D5" s="5"/>
      <c r="E5" s="5"/>
      <c r="F5" s="5"/>
      <c r="G5" s="5"/>
      <c r="H5" s="5"/>
      <c r="I5" s="5"/>
    </row>
    <row r="6" spans="1:21" x14ac:dyDescent="0.25">
      <c r="A6" s="54" t="s">
        <v>53</v>
      </c>
      <c r="B6" s="7" t="s">
        <v>60</v>
      </c>
      <c r="C6" s="63" t="s">
        <v>15</v>
      </c>
      <c r="D6" s="64"/>
      <c r="E6" s="65"/>
      <c r="F6" s="63" t="s">
        <v>16</v>
      </c>
      <c r="G6" s="64"/>
      <c r="H6" s="65"/>
      <c r="I6" s="6"/>
    </row>
    <row r="7" spans="1:21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21" x14ac:dyDescent="0.25">
      <c r="A8" s="38" t="s">
        <v>80</v>
      </c>
      <c r="B8" s="38" t="s">
        <v>25</v>
      </c>
      <c r="C8" s="39">
        <v>0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40" t="s">
        <v>81</v>
      </c>
    </row>
    <row r="9" spans="1:21" x14ac:dyDescent="0.25">
      <c r="A9" s="38" t="s">
        <v>75</v>
      </c>
      <c r="B9" s="38" t="s">
        <v>25</v>
      </c>
      <c r="C9" s="39">
        <v>0</v>
      </c>
      <c r="D9" s="39">
        <v>25.4</v>
      </c>
      <c r="E9" s="39">
        <v>0</v>
      </c>
      <c r="F9" s="39">
        <v>0</v>
      </c>
      <c r="G9" s="39">
        <v>0</v>
      </c>
      <c r="H9" s="39">
        <v>0</v>
      </c>
      <c r="I9" s="40" t="s">
        <v>76</v>
      </c>
    </row>
    <row r="10" spans="1:21" x14ac:dyDescent="0.25">
      <c r="A10" s="38" t="s">
        <v>70</v>
      </c>
      <c r="B10" s="38" t="s">
        <v>25</v>
      </c>
      <c r="C10" s="39">
        <v>50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60"/>
    </row>
    <row r="11" spans="1:21" x14ac:dyDescent="0.25">
      <c r="A11" s="38" t="s">
        <v>71</v>
      </c>
      <c r="B11" s="38" t="s">
        <v>25</v>
      </c>
      <c r="C11" s="39">
        <v>-10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60"/>
    </row>
    <row r="12" spans="1:21" x14ac:dyDescent="0.25">
      <c r="A12" s="38" t="s">
        <v>72</v>
      </c>
      <c r="B12" s="38" t="s">
        <v>25</v>
      </c>
      <c r="C12" s="39">
        <v>0</v>
      </c>
      <c r="D12" s="39">
        <v>10</v>
      </c>
      <c r="E12" s="39">
        <v>0</v>
      </c>
      <c r="F12" s="39">
        <v>0</v>
      </c>
      <c r="G12" s="39">
        <v>0</v>
      </c>
      <c r="H12" s="39">
        <v>0</v>
      </c>
      <c r="I12" s="60"/>
    </row>
    <row r="13" spans="1:21" x14ac:dyDescent="0.25">
      <c r="A13" s="38" t="s">
        <v>73</v>
      </c>
      <c r="B13" s="38" t="s">
        <v>25</v>
      </c>
      <c r="C13" s="39">
        <v>0</v>
      </c>
      <c r="D13" s="39">
        <v>0</v>
      </c>
      <c r="E13" s="39">
        <v>-20</v>
      </c>
      <c r="F13" s="39">
        <v>0</v>
      </c>
      <c r="G13" s="39">
        <v>0</v>
      </c>
      <c r="H13" s="39">
        <v>0</v>
      </c>
      <c r="I13" s="60"/>
    </row>
    <row r="14" spans="1:21" x14ac:dyDescent="0.25">
      <c r="A14" s="38" t="s">
        <v>74</v>
      </c>
      <c r="B14" s="38" t="s">
        <v>25</v>
      </c>
      <c r="C14" s="39">
        <f>-SUM(C9:C13)</f>
        <v>-40</v>
      </c>
      <c r="D14" s="39">
        <f t="shared" ref="D14:H14" si="0">-SUM(D9:D13)</f>
        <v>-35.4</v>
      </c>
      <c r="E14" s="39">
        <f t="shared" si="0"/>
        <v>20</v>
      </c>
      <c r="F14" s="39">
        <f t="shared" si="0"/>
        <v>0</v>
      </c>
      <c r="G14" s="39">
        <f t="shared" si="0"/>
        <v>0</v>
      </c>
      <c r="H14" s="39">
        <f t="shared" si="0"/>
        <v>0</v>
      </c>
      <c r="I14" s="60" t="s">
        <v>69</v>
      </c>
      <c r="U14">
        <f>1000*10^6</f>
        <v>1000000000</v>
      </c>
    </row>
    <row r="15" spans="1:21" x14ac:dyDescent="0.25">
      <c r="A15" s="4" t="s">
        <v>21</v>
      </c>
      <c r="B15" s="4"/>
      <c r="C15" s="5"/>
      <c r="D15" s="5"/>
      <c r="E15" s="5"/>
      <c r="F15" s="5"/>
      <c r="G15" s="5"/>
      <c r="H15" s="5"/>
      <c r="I15" s="14"/>
    </row>
    <row r="16" spans="1:21" x14ac:dyDescent="0.25">
      <c r="A16" s="57" t="s">
        <v>59</v>
      </c>
      <c r="B16" s="57"/>
      <c r="C16" s="58">
        <v>1</v>
      </c>
      <c r="D16" s="58">
        <v>0</v>
      </c>
      <c r="E16" s="58">
        <v>0</v>
      </c>
      <c r="F16" s="58">
        <f>(D9*E16-E9*D16)</f>
        <v>0</v>
      </c>
      <c r="G16" s="58">
        <f>-(C9*E16-E9*C16)</f>
        <v>0</v>
      </c>
      <c r="H16" s="58">
        <f>(C9*D16-D9*C16)</f>
        <v>-25.4</v>
      </c>
      <c r="I16" s="57" t="s">
        <v>79</v>
      </c>
      <c r="J16" t="s">
        <v>83</v>
      </c>
    </row>
    <row r="17" spans="1:10" ht="30" x14ac:dyDescent="0.25">
      <c r="A17" s="57" t="s">
        <v>66</v>
      </c>
      <c r="B17" s="57"/>
      <c r="C17" s="59">
        <f>5600/10^3 +J17</f>
        <v>10000005.6</v>
      </c>
      <c r="D17" s="59">
        <f>8000000000/10^3</f>
        <v>8000000</v>
      </c>
      <c r="E17" s="59">
        <f>10000000/10^3</f>
        <v>10000</v>
      </c>
      <c r="F17" s="59">
        <f>39400000</f>
        <v>39400000</v>
      </c>
      <c r="G17" s="59">
        <f>75300000000</f>
        <v>75300000000</v>
      </c>
      <c r="H17" s="59">
        <f>81500000</f>
        <v>81500000</v>
      </c>
      <c r="I17" s="57" t="s">
        <v>82</v>
      </c>
      <c r="J17" s="52">
        <v>10000000</v>
      </c>
    </row>
    <row r="18" spans="1:10" x14ac:dyDescent="0.25">
      <c r="A18" s="41" t="s">
        <v>80</v>
      </c>
      <c r="B18" s="41" t="s">
        <v>29</v>
      </c>
      <c r="C18" s="42">
        <f>0</f>
        <v>0</v>
      </c>
      <c r="D18" s="42">
        <f>0</f>
        <v>0</v>
      </c>
      <c r="E18" s="42">
        <f>0</f>
        <v>0</v>
      </c>
      <c r="F18" s="42">
        <f>0</f>
        <v>0</v>
      </c>
      <c r="G18" s="42">
        <f>0</f>
        <v>0</v>
      </c>
      <c r="H18" s="42">
        <f>0</f>
        <v>0</v>
      </c>
      <c r="I18" s="43"/>
    </row>
    <row r="19" spans="1:10" x14ac:dyDescent="0.25">
      <c r="A19" s="41" t="s">
        <v>75</v>
      </c>
      <c r="B19" s="41" t="s">
        <v>29</v>
      </c>
      <c r="C19" s="42">
        <f>0</f>
        <v>0</v>
      </c>
      <c r="D19" s="42">
        <f>0</f>
        <v>0</v>
      </c>
      <c r="E19" s="42">
        <f>0</f>
        <v>0</v>
      </c>
      <c r="F19" s="42">
        <f>0</f>
        <v>0</v>
      </c>
      <c r="G19" s="42">
        <f>0</f>
        <v>0</v>
      </c>
      <c r="H19" s="42">
        <f>0</f>
        <v>0</v>
      </c>
      <c r="I19" s="43" t="s">
        <v>64</v>
      </c>
    </row>
    <row r="20" spans="1:10" x14ac:dyDescent="0.25">
      <c r="A20" s="41" t="s">
        <v>70</v>
      </c>
      <c r="B20" s="41" t="s">
        <v>29</v>
      </c>
      <c r="C20" s="42">
        <v>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61"/>
    </row>
    <row r="21" spans="1:10" x14ac:dyDescent="0.25">
      <c r="A21" s="41" t="s">
        <v>71</v>
      </c>
      <c r="B21" s="41" t="s">
        <v>29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61"/>
    </row>
    <row r="22" spans="1:10" x14ac:dyDescent="0.25">
      <c r="A22" s="41" t="s">
        <v>72</v>
      </c>
      <c r="B22" s="41" t="s">
        <v>29</v>
      </c>
      <c r="C22" s="42">
        <f>C16/C17</f>
        <v>9.9999944000031358E-8</v>
      </c>
      <c r="D22" s="42">
        <f t="shared" ref="D22:H22" si="1">D16/D17</f>
        <v>0</v>
      </c>
      <c r="E22" s="42">
        <f t="shared" si="1"/>
        <v>0</v>
      </c>
      <c r="F22" s="42">
        <f t="shared" si="1"/>
        <v>0</v>
      </c>
      <c r="G22" s="42">
        <f t="shared" si="1"/>
        <v>0</v>
      </c>
      <c r="H22" s="42">
        <f t="shared" si="1"/>
        <v>-3.1165644171779137E-7</v>
      </c>
      <c r="I22" s="61" t="s">
        <v>78</v>
      </c>
    </row>
    <row r="23" spans="1:10" x14ac:dyDescent="0.25">
      <c r="A23" s="41" t="s">
        <v>73</v>
      </c>
      <c r="B23" s="41" t="s">
        <v>29</v>
      </c>
      <c r="C23" s="42">
        <v>0</v>
      </c>
      <c r="D23" s="42">
        <v>0</v>
      </c>
      <c r="E23" s="42">
        <v>0</v>
      </c>
      <c r="F23" s="42">
        <v>0</v>
      </c>
      <c r="G23" s="42">
        <v>0</v>
      </c>
      <c r="H23" s="42">
        <v>0</v>
      </c>
      <c r="I23" s="61"/>
    </row>
    <row r="24" spans="1:10" x14ac:dyDescent="0.25">
      <c r="A24" s="41" t="s">
        <v>77</v>
      </c>
      <c r="B24" s="41" t="s">
        <v>29</v>
      </c>
      <c r="C24" s="42">
        <v>0</v>
      </c>
      <c r="D24" s="42">
        <v>0</v>
      </c>
      <c r="E24" s="42">
        <v>0</v>
      </c>
      <c r="F24" s="42">
        <v>0</v>
      </c>
      <c r="G24" s="42">
        <v>0</v>
      </c>
      <c r="H24" s="42">
        <v>0</v>
      </c>
      <c r="I24" s="61" t="s">
        <v>65</v>
      </c>
    </row>
    <row r="25" spans="1:10" x14ac:dyDescent="0.25">
      <c r="A25" s="4" t="s">
        <v>46</v>
      </c>
      <c r="B25" s="4"/>
      <c r="C25" s="5"/>
      <c r="D25" s="5"/>
      <c r="E25" s="5"/>
      <c r="F25" s="5"/>
      <c r="G25" s="5"/>
      <c r="H25" s="5"/>
      <c r="I25" s="5"/>
    </row>
    <row r="26" spans="1:10" x14ac:dyDescent="0.25">
      <c r="A26" s="7"/>
      <c r="B26" s="7"/>
      <c r="C26" s="63" t="s">
        <v>15</v>
      </c>
      <c r="D26" s="64"/>
      <c r="E26" s="65"/>
      <c r="F26" s="63" t="s">
        <v>16</v>
      </c>
      <c r="G26" s="64"/>
      <c r="H26" s="65"/>
      <c r="I26" s="6"/>
    </row>
    <row r="27" spans="1:10" x14ac:dyDescent="0.25">
      <c r="A27" s="7" t="s">
        <v>7</v>
      </c>
      <c r="B27" s="7" t="s">
        <v>24</v>
      </c>
      <c r="C27" s="6" t="s">
        <v>8</v>
      </c>
      <c r="D27" s="6" t="s">
        <v>9</v>
      </c>
      <c r="E27" s="6" t="s">
        <v>10</v>
      </c>
      <c r="F27" s="6" t="s">
        <v>11</v>
      </c>
      <c r="G27" s="6" t="s">
        <v>12</v>
      </c>
      <c r="H27" s="6" t="s">
        <v>13</v>
      </c>
      <c r="I27" s="6" t="s">
        <v>6</v>
      </c>
    </row>
    <row r="28" spans="1:10" x14ac:dyDescent="0.25">
      <c r="A28" s="46" t="s">
        <v>50</v>
      </c>
      <c r="B28" s="46" t="s">
        <v>20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8" t="s">
        <v>46</v>
      </c>
    </row>
    <row r="29" spans="1:10" x14ac:dyDescent="0.25">
      <c r="A29" s="23" t="s">
        <v>51</v>
      </c>
      <c r="B29" s="23" t="s">
        <v>45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5" t="s">
        <v>47</v>
      </c>
    </row>
    <row r="30" spans="1:10" x14ac:dyDescent="0.25">
      <c r="A30" s="4" t="s">
        <v>36</v>
      </c>
      <c r="B30" s="4"/>
      <c r="C30" s="5"/>
      <c r="D30" s="5"/>
      <c r="E30" s="5"/>
      <c r="F30" s="5"/>
      <c r="G30" s="5"/>
      <c r="H30" s="5"/>
      <c r="I30" s="5"/>
    </row>
    <row r="31" spans="1:10" x14ac:dyDescent="0.25">
      <c r="A31" s="7" t="s">
        <v>7</v>
      </c>
      <c r="B31" s="7" t="s">
        <v>24</v>
      </c>
      <c r="C31" s="7" t="s">
        <v>1</v>
      </c>
      <c r="D31" s="67" t="s">
        <v>2</v>
      </c>
      <c r="E31" s="67"/>
      <c r="F31" s="53"/>
    </row>
    <row r="32" spans="1:10" x14ac:dyDescent="0.25">
      <c r="A32" s="44" t="s">
        <v>37</v>
      </c>
      <c r="B32" s="44" t="s">
        <v>38</v>
      </c>
      <c r="C32" s="56">
        <v>10000</v>
      </c>
      <c r="D32" s="68" t="s">
        <v>39</v>
      </c>
      <c r="E32" s="68"/>
    </row>
    <row r="33" spans="1:17" x14ac:dyDescent="0.25">
      <c r="A33" s="44" t="s">
        <v>42</v>
      </c>
      <c r="B33" s="44" t="s">
        <v>40</v>
      </c>
      <c r="C33" s="45">
        <v>3</v>
      </c>
      <c r="D33" s="68" t="s">
        <v>41</v>
      </c>
      <c r="E33" s="68"/>
    </row>
    <row r="34" spans="1:17" x14ac:dyDescent="0.25">
      <c r="A34" s="44" t="s">
        <v>55</v>
      </c>
      <c r="B34" s="44" t="s">
        <v>57</v>
      </c>
      <c r="C34" s="55" t="s">
        <v>56</v>
      </c>
      <c r="D34" s="45" t="s">
        <v>58</v>
      </c>
      <c r="E34" s="45"/>
    </row>
    <row r="35" spans="1:17" x14ac:dyDescent="0.25">
      <c r="A35" s="4" t="s">
        <v>43</v>
      </c>
      <c r="B35" s="4"/>
      <c r="C35" s="5"/>
      <c r="D35" s="5"/>
      <c r="E35" s="5"/>
      <c r="F35" s="5"/>
      <c r="G35" s="5"/>
      <c r="H35" s="5"/>
      <c r="I35" s="5"/>
      <c r="K35" t="s">
        <v>49</v>
      </c>
    </row>
    <row r="36" spans="1:17" x14ac:dyDescent="0.25">
      <c r="A36" s="12"/>
      <c r="B36" s="27"/>
      <c r="C36" s="63" t="s">
        <v>15</v>
      </c>
      <c r="D36" s="64"/>
      <c r="E36" s="65"/>
      <c r="F36" s="63" t="s">
        <v>16</v>
      </c>
      <c r="G36" s="64"/>
      <c r="H36" s="65"/>
      <c r="I36" s="6"/>
    </row>
    <row r="37" spans="1:17" x14ac:dyDescent="0.25">
      <c r="A37" s="7" t="s">
        <v>7</v>
      </c>
      <c r="B37" s="7" t="s">
        <v>24</v>
      </c>
      <c r="C37" s="6" t="s">
        <v>8</v>
      </c>
      <c r="D37" s="6" t="s">
        <v>9</v>
      </c>
      <c r="E37" s="6" t="s">
        <v>10</v>
      </c>
      <c r="F37" s="6" t="s">
        <v>11</v>
      </c>
      <c r="G37" s="6" t="s">
        <v>12</v>
      </c>
      <c r="H37" s="6" t="s">
        <v>13</v>
      </c>
      <c r="I37" s="6" t="s">
        <v>6</v>
      </c>
      <c r="K37" t="str">
        <f>A37</f>
        <v>Vector Name</v>
      </c>
      <c r="L37" t="str">
        <f>C37</f>
        <v>X</v>
      </c>
      <c r="M37" t="str">
        <f t="shared" ref="M37:Q38" si="2">D37</f>
        <v>Y</v>
      </c>
      <c r="N37" t="str">
        <f t="shared" si="2"/>
        <v>Z</v>
      </c>
      <c r="O37" t="str">
        <f t="shared" si="2"/>
        <v>Tx</v>
      </c>
      <c r="P37" t="str">
        <f t="shared" si="2"/>
        <v>Ty</v>
      </c>
      <c r="Q37" t="str">
        <f>H37</f>
        <v>Tz</v>
      </c>
    </row>
    <row r="38" spans="1:17" x14ac:dyDescent="0.25">
      <c r="A38" s="49" t="s">
        <v>31</v>
      </c>
      <c r="B38" s="50" t="s">
        <v>26</v>
      </c>
      <c r="C38" s="51">
        <v>7.8520952548209703E-6</v>
      </c>
      <c r="D38" s="51">
        <v>1.2237544529650806E-5</v>
      </c>
      <c r="E38" s="51">
        <v>0</v>
      </c>
      <c r="F38" s="51">
        <v>0</v>
      </c>
      <c r="G38" s="51">
        <v>0</v>
      </c>
      <c r="H38" s="51">
        <v>3.0911289782999691E-7</v>
      </c>
      <c r="I38" s="51" t="s">
        <v>84</v>
      </c>
      <c r="K38" t="str">
        <f>A38</f>
        <v>Re_A_B</v>
      </c>
      <c r="L38" s="52">
        <f t="shared" ref="L38" si="3">C38</f>
        <v>7.8520952548209703E-6</v>
      </c>
      <c r="M38" s="52">
        <f t="shared" si="2"/>
        <v>1.2237544529650806E-5</v>
      </c>
      <c r="N38" s="52">
        <f t="shared" si="2"/>
        <v>0</v>
      </c>
      <c r="O38" s="52">
        <f t="shared" si="2"/>
        <v>0</v>
      </c>
      <c r="P38" s="52">
        <f t="shared" si="2"/>
        <v>0</v>
      </c>
      <c r="Q38" s="52">
        <f t="shared" si="2"/>
        <v>3.0911289782999691E-7</v>
      </c>
    </row>
    <row r="39" spans="1:17" x14ac:dyDescent="0.25">
      <c r="A39" s="4" t="s">
        <v>54</v>
      </c>
      <c r="B39" s="4"/>
      <c r="C39" s="5"/>
      <c r="D39" s="5"/>
      <c r="E39" s="5"/>
      <c r="F39" s="5"/>
      <c r="G39" s="5"/>
      <c r="H39" s="5"/>
      <c r="I39" s="5"/>
    </row>
    <row r="40" spans="1:17" x14ac:dyDescent="0.25">
      <c r="A40" s="1" t="s">
        <v>52</v>
      </c>
      <c r="B40" s="1">
        <v>0</v>
      </c>
    </row>
  </sheetData>
  <mergeCells count="9">
    <mergeCell ref="D33:E33"/>
    <mergeCell ref="C36:E36"/>
    <mergeCell ref="F36:H36"/>
    <mergeCell ref="C6:E6"/>
    <mergeCell ref="F6:H6"/>
    <mergeCell ref="C26:E26"/>
    <mergeCell ref="F26:H26"/>
    <mergeCell ref="D31:E31"/>
    <mergeCell ref="D32:E32"/>
  </mergeCells>
  <phoneticPr fontId="4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B6F9-100B-4B26-B8DE-62ABBCCF3A42}">
  <dimension ref="A1:Q28"/>
  <sheetViews>
    <sheetView zoomScaleNormal="100" workbookViewId="0">
      <selection activeCell="D11" sqref="A5:I28"/>
    </sheetView>
  </sheetViews>
  <sheetFormatPr defaultRowHeight="15" x14ac:dyDescent="0.25"/>
  <cols>
    <col min="1" max="1" width="31.5703125" style="1" customWidth="1"/>
    <col min="2" max="2" width="14.28515625" style="1" customWidth="1"/>
    <col min="3" max="8" width="10.5703125" bestFit="1" customWidth="1"/>
    <col min="9" max="9" width="31" customWidth="1"/>
    <col min="11" max="11" width="14.7109375" hidden="1" customWidth="1"/>
    <col min="12" max="17" width="0" hidden="1" customWidth="1"/>
  </cols>
  <sheetData>
    <row r="1" spans="1:9" x14ac:dyDescent="0.25">
      <c r="A1" s="3" t="s">
        <v>61</v>
      </c>
      <c r="B1" s="3"/>
    </row>
    <row r="4" spans="1:9" x14ac:dyDescent="0.25">
      <c r="A4" s="2"/>
      <c r="B4" s="2"/>
      <c r="C4" s="13"/>
      <c r="D4" s="13"/>
      <c r="E4" s="13"/>
      <c r="F4" s="13"/>
      <c r="G4" s="13"/>
      <c r="H4" s="13"/>
    </row>
    <row r="5" spans="1:9" x14ac:dyDescent="0.25">
      <c r="A5" s="4" t="s">
        <v>48</v>
      </c>
      <c r="B5" s="4"/>
      <c r="C5" s="5"/>
      <c r="D5" s="5"/>
      <c r="E5" s="5"/>
      <c r="F5" s="5"/>
      <c r="G5" s="5"/>
      <c r="H5" s="5"/>
      <c r="I5" s="5"/>
    </row>
    <row r="6" spans="1:9" x14ac:dyDescent="0.25">
      <c r="A6" s="54" t="s">
        <v>53</v>
      </c>
      <c r="B6" s="7" t="s">
        <v>60</v>
      </c>
      <c r="C6" s="63" t="s">
        <v>15</v>
      </c>
      <c r="D6" s="64"/>
      <c r="E6" s="65"/>
      <c r="F6" s="63" t="s">
        <v>16</v>
      </c>
      <c r="G6" s="64"/>
      <c r="H6" s="65"/>
      <c r="I6" s="6"/>
    </row>
    <row r="7" spans="1:9" x14ac:dyDescent="0.25">
      <c r="A7" s="7" t="s">
        <v>7</v>
      </c>
      <c r="B7" s="7" t="s">
        <v>24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6</v>
      </c>
    </row>
    <row r="8" spans="1:9" x14ac:dyDescent="0.25">
      <c r="A8" s="38" t="s">
        <v>63</v>
      </c>
      <c r="B8" s="38" t="s">
        <v>25</v>
      </c>
      <c r="C8" s="39">
        <v>1</v>
      </c>
      <c r="D8" s="39">
        <v>0</v>
      </c>
      <c r="E8" s="39">
        <v>0</v>
      </c>
      <c r="F8" s="39">
        <v>0</v>
      </c>
      <c r="G8" s="39">
        <v>0</v>
      </c>
      <c r="H8" s="39">
        <v>0</v>
      </c>
      <c r="I8" s="40"/>
    </row>
    <row r="9" spans="1:9" x14ac:dyDescent="0.25">
      <c r="A9" s="38" t="s">
        <v>62</v>
      </c>
      <c r="B9" s="38" t="s">
        <v>25</v>
      </c>
      <c r="C9" s="39">
        <v>0</v>
      </c>
      <c r="D9" s="39">
        <v>1</v>
      </c>
      <c r="E9" s="39">
        <v>0</v>
      </c>
      <c r="F9" s="39">
        <v>0</v>
      </c>
      <c r="G9" s="39">
        <v>0</v>
      </c>
      <c r="H9" s="39">
        <v>0</v>
      </c>
      <c r="I9" s="60"/>
    </row>
    <row r="10" spans="1:9" x14ac:dyDescent="0.25">
      <c r="A10" s="4" t="s">
        <v>21</v>
      </c>
      <c r="B10" s="4"/>
      <c r="C10" s="5"/>
      <c r="D10" s="5"/>
      <c r="E10" s="5"/>
      <c r="F10" s="5"/>
      <c r="G10" s="5"/>
      <c r="H10" s="5"/>
      <c r="I10" s="14"/>
    </row>
    <row r="11" spans="1:9" x14ac:dyDescent="0.25">
      <c r="A11" s="41" t="s">
        <v>67</v>
      </c>
      <c r="B11" s="41" t="s">
        <v>29</v>
      </c>
      <c r="C11" s="42">
        <v>0.01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3"/>
    </row>
    <row r="12" spans="1:9" x14ac:dyDescent="0.25">
      <c r="A12" s="41" t="s">
        <v>68</v>
      </c>
      <c r="B12" s="41" t="s">
        <v>29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61"/>
    </row>
    <row r="13" spans="1:9" x14ac:dyDescent="0.25">
      <c r="A13" s="4" t="s">
        <v>46</v>
      </c>
      <c r="B13" s="4"/>
      <c r="C13" s="5"/>
      <c r="D13" s="5"/>
      <c r="E13" s="5"/>
      <c r="F13" s="5"/>
      <c r="G13" s="5"/>
      <c r="H13" s="5"/>
      <c r="I13" s="5"/>
    </row>
    <row r="14" spans="1:9" x14ac:dyDescent="0.25">
      <c r="A14" s="7"/>
      <c r="B14" s="7"/>
      <c r="C14" s="63" t="s">
        <v>15</v>
      </c>
      <c r="D14" s="64"/>
      <c r="E14" s="65"/>
      <c r="F14" s="63" t="s">
        <v>16</v>
      </c>
      <c r="G14" s="64"/>
      <c r="H14" s="65"/>
      <c r="I14" s="6"/>
    </row>
    <row r="15" spans="1:9" x14ac:dyDescent="0.25">
      <c r="A15" s="7" t="s">
        <v>7</v>
      </c>
      <c r="B15" s="7" t="s">
        <v>24</v>
      </c>
      <c r="C15" s="6" t="s">
        <v>8</v>
      </c>
      <c r="D15" s="6" t="s">
        <v>9</v>
      </c>
      <c r="E15" s="6" t="s">
        <v>10</v>
      </c>
      <c r="F15" s="6" t="s">
        <v>11</v>
      </c>
      <c r="G15" s="6" t="s">
        <v>12</v>
      </c>
      <c r="H15" s="6" t="s">
        <v>13</v>
      </c>
      <c r="I15" s="6" t="s">
        <v>6</v>
      </c>
    </row>
    <row r="16" spans="1:9" x14ac:dyDescent="0.25">
      <c r="A16" s="46" t="s">
        <v>50</v>
      </c>
      <c r="B16" s="46" t="s">
        <v>20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8" t="s">
        <v>46</v>
      </c>
    </row>
    <row r="17" spans="1:17" x14ac:dyDescent="0.25">
      <c r="A17" s="23" t="s">
        <v>51</v>
      </c>
      <c r="B17" s="23" t="s">
        <v>45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5" t="s">
        <v>47</v>
      </c>
    </row>
    <row r="18" spans="1:17" x14ac:dyDescent="0.25">
      <c r="A18" s="4" t="s">
        <v>36</v>
      </c>
      <c r="B18" s="4"/>
      <c r="C18" s="5"/>
      <c r="D18" s="5"/>
      <c r="E18" s="5"/>
      <c r="F18" s="5"/>
      <c r="G18" s="5"/>
      <c r="H18" s="5"/>
      <c r="I18" s="5"/>
    </row>
    <row r="19" spans="1:17" x14ac:dyDescent="0.25">
      <c r="A19" s="7" t="s">
        <v>7</v>
      </c>
      <c r="B19" s="7" t="s">
        <v>24</v>
      </c>
      <c r="C19" s="7" t="s">
        <v>1</v>
      </c>
      <c r="D19" s="67" t="s">
        <v>2</v>
      </c>
      <c r="E19" s="67"/>
      <c r="F19" s="53"/>
    </row>
    <row r="20" spans="1:17" x14ac:dyDescent="0.25">
      <c r="A20" s="44" t="s">
        <v>37</v>
      </c>
      <c r="B20" s="44" t="s">
        <v>38</v>
      </c>
      <c r="C20" s="56">
        <v>1000</v>
      </c>
      <c r="D20" s="68" t="s">
        <v>39</v>
      </c>
      <c r="E20" s="68"/>
    </row>
    <row r="21" spans="1:17" x14ac:dyDescent="0.25">
      <c r="A21" s="44" t="s">
        <v>42</v>
      </c>
      <c r="B21" s="44" t="s">
        <v>40</v>
      </c>
      <c r="C21" s="45">
        <v>3</v>
      </c>
      <c r="D21" s="68" t="s">
        <v>41</v>
      </c>
      <c r="E21" s="68"/>
    </row>
    <row r="22" spans="1:17" x14ac:dyDescent="0.25">
      <c r="A22" s="44" t="s">
        <v>55</v>
      </c>
      <c r="B22" s="44" t="s">
        <v>57</v>
      </c>
      <c r="C22" s="55" t="s">
        <v>56</v>
      </c>
      <c r="D22" s="45" t="s">
        <v>58</v>
      </c>
      <c r="E22" s="45"/>
    </row>
    <row r="23" spans="1:17" x14ac:dyDescent="0.25">
      <c r="A23" s="4" t="s">
        <v>43</v>
      </c>
      <c r="B23" s="4"/>
      <c r="C23" s="5"/>
      <c r="D23" s="5"/>
      <c r="E23" s="5"/>
      <c r="F23" s="5"/>
      <c r="G23" s="5"/>
      <c r="H23" s="5"/>
      <c r="I23" s="5"/>
      <c r="K23" t="s">
        <v>49</v>
      </c>
    </row>
    <row r="24" spans="1:17" x14ac:dyDescent="0.25">
      <c r="A24" s="12"/>
      <c r="B24" s="27"/>
      <c r="C24" s="63" t="s">
        <v>15</v>
      </c>
      <c r="D24" s="64"/>
      <c r="E24" s="65"/>
      <c r="F24" s="63" t="s">
        <v>16</v>
      </c>
      <c r="G24" s="64"/>
      <c r="H24" s="65"/>
      <c r="I24" s="6"/>
    </row>
    <row r="25" spans="1:17" x14ac:dyDescent="0.25">
      <c r="A25" s="7" t="s">
        <v>7</v>
      </c>
      <c r="B25" s="7" t="s">
        <v>24</v>
      </c>
      <c r="C25" s="6" t="s">
        <v>8</v>
      </c>
      <c r="D25" s="6" t="s">
        <v>9</v>
      </c>
      <c r="E25" s="6" t="s">
        <v>10</v>
      </c>
      <c r="F25" s="6" t="s">
        <v>11</v>
      </c>
      <c r="G25" s="6" t="s">
        <v>12</v>
      </c>
      <c r="H25" s="6" t="s">
        <v>13</v>
      </c>
      <c r="I25" s="6" t="s">
        <v>6</v>
      </c>
      <c r="K25" t="str">
        <f>A25</f>
        <v>Vector Name</v>
      </c>
      <c r="L25" t="str">
        <f>C25</f>
        <v>X</v>
      </c>
      <c r="M25" t="str">
        <f t="shared" ref="M25:Q26" si="0">D25</f>
        <v>Y</v>
      </c>
      <c r="N25" t="str">
        <f t="shared" si="0"/>
        <v>Z</v>
      </c>
      <c r="O25" t="str">
        <f t="shared" si="0"/>
        <v>Tx</v>
      </c>
      <c r="P25" t="str">
        <f t="shared" si="0"/>
        <v>Ty</v>
      </c>
      <c r="Q25" t="str">
        <f>H25</f>
        <v>Tz</v>
      </c>
    </row>
    <row r="26" spans="1:17" x14ac:dyDescent="0.25">
      <c r="A26" s="49" t="s">
        <v>31</v>
      </c>
      <c r="B26" s="50" t="s">
        <v>26</v>
      </c>
      <c r="C26" s="51">
        <v>1.0022595212674047E-2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/>
      <c r="K26" t="str">
        <f>A26</f>
        <v>Re_A_B</v>
      </c>
      <c r="L26" s="52">
        <f t="shared" ref="L26" si="1">C26</f>
        <v>1.0022595212674047E-2</v>
      </c>
      <c r="M26" s="52">
        <f t="shared" si="0"/>
        <v>0</v>
      </c>
      <c r="N26" s="52">
        <f t="shared" si="0"/>
        <v>0</v>
      </c>
      <c r="O26" s="52">
        <f t="shared" si="0"/>
        <v>0</v>
      </c>
      <c r="P26" s="52">
        <f t="shared" si="0"/>
        <v>0</v>
      </c>
      <c r="Q26" s="52">
        <f t="shared" si="0"/>
        <v>0</v>
      </c>
    </row>
    <row r="27" spans="1:17" x14ac:dyDescent="0.25">
      <c r="A27" s="4" t="s">
        <v>54</v>
      </c>
      <c r="B27" s="4"/>
      <c r="C27" s="5"/>
      <c r="D27" s="5"/>
      <c r="E27" s="5"/>
      <c r="F27" s="5"/>
      <c r="G27" s="5"/>
      <c r="H27" s="5"/>
      <c r="I27" s="5"/>
    </row>
    <row r="28" spans="1:17" x14ac:dyDescent="0.25">
      <c r="A28" s="1" t="s">
        <v>52</v>
      </c>
      <c r="B28" s="1">
        <v>1</v>
      </c>
    </row>
  </sheetData>
  <mergeCells count="9">
    <mergeCell ref="D21:E21"/>
    <mergeCell ref="C24:E24"/>
    <mergeCell ref="F24:H24"/>
    <mergeCell ref="C6:E6"/>
    <mergeCell ref="F6:H6"/>
    <mergeCell ref="C14:E14"/>
    <mergeCell ref="F14:H14"/>
    <mergeCell ref="D19:E19"/>
    <mergeCell ref="D20:E2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234DA7483FB459CDDCFBD699E8AB6" ma:contentTypeVersion="13" ma:contentTypeDescription="Create a new document." ma:contentTypeScope="" ma:versionID="3f7206b8afd768ae63d16fd6d799dfb4">
  <xsd:schema xmlns:xsd="http://www.w3.org/2001/XMLSchema" xmlns:xs="http://www.w3.org/2001/XMLSchema" xmlns:p="http://schemas.microsoft.com/office/2006/metadata/properties" xmlns:ns3="7d5420f2-a1e8-4afa-a52e-75a8a8141b9a" xmlns:ns4="c0d17589-4d0e-4e5b-b325-ec8c16a86cc3" targetNamespace="http://schemas.microsoft.com/office/2006/metadata/properties" ma:root="true" ma:fieldsID="3a569fb8e3cecd02cb92b2c72f5cf293" ns3:_="" ns4:_="">
    <xsd:import namespace="7d5420f2-a1e8-4afa-a52e-75a8a8141b9a"/>
    <xsd:import namespace="c0d17589-4d0e-4e5b-b325-ec8c16a86c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420f2-a1e8-4afa-a52e-75a8a8141b9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17589-4d0e-4e5b-b325-ec8c16a86c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2012B1-D69D-4B4B-BD86-04053F3E92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A1AD97-EC20-4BCD-9995-E7F9D67CA0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5420f2-a1e8-4afa-a52e-75a8a8141b9a"/>
    <ds:schemaRef ds:uri="c0d17589-4d0e-4e5b-b325-ec8c16a86c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2CAE50-2F1F-4036-9BDE-3178FFC470C0}">
  <ds:schemaRefs>
    <ds:schemaRef ds:uri="c0d17589-4d0e-4e5b-b325-ec8c16a86cc3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7d5420f2-a1e8-4afa-a52e-75a8a8141b9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TolStack</vt:lpstr>
      <vt:lpstr>TS_Stack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Seawright, Tyler</dc:creator>
  <cp:lastModifiedBy>Seawright, Tyler</cp:lastModifiedBy>
  <dcterms:created xsi:type="dcterms:W3CDTF">2019-11-04T17:07:18Z</dcterms:created>
  <dcterms:modified xsi:type="dcterms:W3CDTF">2025-10-24T22:30:17Z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0x0101007E9234DA7483FB459CDDCFBD699E8AB6</vt:lpwstr>
  </property>
</Properties>
</file>