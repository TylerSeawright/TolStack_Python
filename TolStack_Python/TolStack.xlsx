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yman\OneDrive\Documents\GitHub\TolStack_Matlab\Active\"/>
    </mc:Choice>
  </mc:AlternateContent>
  <xr:revisionPtr revIDLastSave="0" documentId="13_ncr:1_{AE349C6D-0003-4861-8EF2-B5AFC31BAC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PE" sheetId="5" r:id="rId1"/>
    <sheet name="SingleStack" sheetId="7" r:id="rId2"/>
    <sheet name="3Stack" sheetId="9" r:id="rId3"/>
    <sheet name="TS_Stack" sheetId="11" r:id="rId4"/>
    <sheet name="HeliStack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1" l="1"/>
  <c r="H10" i="11"/>
  <c r="H8" i="11"/>
  <c r="H8" i="12"/>
  <c r="H9" i="12"/>
  <c r="H10" i="12"/>
  <c r="H11" i="12"/>
  <c r="H12" i="12"/>
  <c r="H13" i="12"/>
  <c r="H14" i="12"/>
  <c r="H15" i="12"/>
  <c r="H16" i="12"/>
  <c r="H17" i="12"/>
  <c r="H18" i="12"/>
  <c r="H19" i="12"/>
  <c r="Q46" i="12"/>
  <c r="P46" i="12"/>
  <c r="O46" i="12"/>
  <c r="N46" i="12"/>
  <c r="M46" i="12"/>
  <c r="L46" i="12"/>
  <c r="K46" i="12"/>
  <c r="Q45" i="12"/>
  <c r="P45" i="12"/>
  <c r="O45" i="12"/>
  <c r="N45" i="12"/>
  <c r="M45" i="12"/>
  <c r="L45" i="12"/>
  <c r="K45" i="12"/>
  <c r="Q30" i="11"/>
  <c r="P30" i="11"/>
  <c r="O30" i="11"/>
  <c r="N30" i="11"/>
  <c r="M30" i="11"/>
  <c r="L30" i="11"/>
  <c r="K30" i="11"/>
  <c r="Q29" i="11"/>
  <c r="P29" i="11"/>
  <c r="O29" i="11"/>
  <c r="N29" i="11"/>
  <c r="M29" i="11"/>
  <c r="L29" i="11"/>
  <c r="K29" i="11"/>
  <c r="Z19" i="9"/>
  <c r="W19" i="9"/>
  <c r="AA18" i="9"/>
  <c r="Z18" i="9"/>
  <c r="W18" i="9"/>
  <c r="Z17" i="9"/>
  <c r="W17" i="9"/>
  <c r="Z16" i="9"/>
  <c r="W16" i="9"/>
  <c r="Z15" i="9"/>
  <c r="W15" i="9"/>
  <c r="AA14" i="9"/>
  <c r="Z14" i="9" s="1"/>
  <c r="W12" i="9"/>
  <c r="W11" i="9"/>
  <c r="W10" i="9"/>
  <c r="X9" i="9"/>
  <c r="W9" i="9" s="1"/>
  <c r="W8" i="9"/>
  <c r="W7" i="9"/>
  <c r="P19" i="9"/>
  <c r="M19" i="9"/>
  <c r="Q18" i="9"/>
  <c r="P18" i="9"/>
  <c r="M18" i="9"/>
  <c r="P17" i="9"/>
  <c r="M17" i="9"/>
  <c r="P16" i="9"/>
  <c r="M16" i="9"/>
  <c r="P15" i="9"/>
  <c r="M15" i="9"/>
  <c r="Q14" i="9"/>
  <c r="P14" i="9"/>
  <c r="M12" i="9"/>
  <c r="M11" i="9"/>
  <c r="M10" i="9"/>
  <c r="N9" i="9"/>
  <c r="M9" i="9"/>
  <c r="M8" i="9"/>
  <c r="M7" i="9"/>
  <c r="F19" i="9"/>
  <c r="C19" i="9"/>
  <c r="G18" i="9"/>
  <c r="F18" i="9" s="1"/>
  <c r="C18" i="9"/>
  <c r="F17" i="9"/>
  <c r="C17" i="9"/>
  <c r="F16" i="9"/>
  <c r="C16" i="9"/>
  <c r="F15" i="9"/>
  <c r="C15" i="9"/>
  <c r="G14" i="9"/>
  <c r="F14" i="9"/>
  <c r="C12" i="9"/>
  <c r="C11" i="9"/>
  <c r="C10" i="9"/>
  <c r="D9" i="9"/>
  <c r="C9" i="9"/>
  <c r="C8" i="9"/>
  <c r="C7" i="9"/>
  <c r="Q69" i="9"/>
  <c r="P69" i="9"/>
  <c r="O69" i="9"/>
  <c r="N69" i="9"/>
  <c r="M69" i="9"/>
  <c r="L69" i="9"/>
  <c r="K69" i="9"/>
  <c r="Q68" i="9"/>
  <c r="P68" i="9"/>
  <c r="O68" i="9"/>
  <c r="N68" i="9"/>
  <c r="M68" i="9"/>
  <c r="L68" i="9"/>
  <c r="K68" i="9"/>
  <c r="Q67" i="9"/>
  <c r="P67" i="9"/>
  <c r="O67" i="9"/>
  <c r="N67" i="9"/>
  <c r="M67" i="9"/>
  <c r="L67" i="9"/>
  <c r="K67" i="9"/>
  <c r="Q66" i="9"/>
  <c r="P66" i="9"/>
  <c r="O66" i="9"/>
  <c r="N66" i="9"/>
  <c r="M66" i="9"/>
  <c r="L66" i="9"/>
  <c r="K66" i="9"/>
  <c r="Q36" i="7"/>
  <c r="P36" i="7"/>
  <c r="O36" i="7"/>
  <c r="N36" i="7"/>
  <c r="M36" i="7"/>
  <c r="L36" i="7"/>
  <c r="K36" i="7"/>
  <c r="Q35" i="7"/>
  <c r="P35" i="7"/>
  <c r="O35" i="7"/>
  <c r="N35" i="7"/>
  <c r="M35" i="7"/>
  <c r="L35" i="7"/>
  <c r="K35" i="7"/>
  <c r="F20" i="7"/>
  <c r="C20" i="7"/>
  <c r="G19" i="7"/>
  <c r="F19" i="7" s="1"/>
  <c r="C19" i="7"/>
  <c r="F18" i="7"/>
  <c r="C18" i="7"/>
  <c r="F17" i="7"/>
  <c r="C17" i="7"/>
  <c r="F16" i="7"/>
  <c r="C16" i="7"/>
  <c r="G15" i="7"/>
  <c r="F15" i="7" s="1"/>
  <c r="C13" i="7"/>
  <c r="C12" i="7"/>
  <c r="C11" i="7"/>
  <c r="D10" i="7"/>
  <c r="C10" i="7" s="1"/>
  <c r="C9" i="7"/>
  <c r="C8" i="7"/>
  <c r="Q71" i="5"/>
  <c r="P71" i="5"/>
  <c r="O71" i="5"/>
  <c r="N71" i="5"/>
  <c r="M71" i="5"/>
  <c r="L71" i="5"/>
  <c r="K71" i="5"/>
  <c r="Q70" i="5"/>
  <c r="P70" i="5"/>
  <c r="O70" i="5"/>
  <c r="N70" i="5"/>
  <c r="M70" i="5"/>
  <c r="L70" i="5"/>
  <c r="K70" i="5"/>
  <c r="Q69" i="5"/>
  <c r="P69" i="5"/>
  <c r="O69" i="5"/>
  <c r="N69" i="5"/>
  <c r="M69" i="5"/>
  <c r="L69" i="5"/>
  <c r="K69" i="5"/>
  <c r="Q68" i="5"/>
  <c r="P68" i="5"/>
  <c r="O68" i="5"/>
  <c r="N68" i="5"/>
  <c r="M68" i="5"/>
  <c r="L68" i="5"/>
  <c r="K68" i="5"/>
  <c r="F54" i="5"/>
  <c r="C54" i="5"/>
  <c r="G53" i="5"/>
  <c r="F53" i="5" s="1"/>
  <c r="C53" i="5"/>
  <c r="F52" i="5"/>
  <c r="C52" i="5"/>
  <c r="F51" i="5"/>
  <c r="C51" i="5"/>
  <c r="F50" i="5"/>
  <c r="C50" i="5"/>
  <c r="G49" i="5"/>
  <c r="F49" i="5"/>
  <c r="D49" i="5"/>
  <c r="C49" i="5"/>
  <c r="C47" i="5"/>
  <c r="C46" i="5"/>
  <c r="C45" i="5"/>
  <c r="D44" i="5"/>
  <c r="C44" i="5" s="1"/>
  <c r="C43" i="5"/>
  <c r="C42" i="5"/>
  <c r="F33" i="5"/>
  <c r="C33" i="5"/>
  <c r="F32" i="5"/>
  <c r="C32" i="5"/>
  <c r="G31" i="5"/>
  <c r="F31" i="5"/>
  <c r="C31" i="5"/>
  <c r="F30" i="5"/>
  <c r="C30" i="5"/>
  <c r="G29" i="5"/>
  <c r="F29" i="5"/>
  <c r="D29" i="5"/>
  <c r="C29" i="5"/>
  <c r="C27" i="5"/>
  <c r="C26" i="5"/>
  <c r="C25" i="5"/>
  <c r="C24" i="5"/>
  <c r="C23" i="5"/>
  <c r="G14" i="5"/>
  <c r="F14" i="5"/>
  <c r="C14" i="5"/>
  <c r="F13" i="5"/>
  <c r="C13" i="5"/>
  <c r="G12" i="5"/>
  <c r="F12" i="5"/>
  <c r="C12" i="5"/>
  <c r="C10" i="5"/>
  <c r="C9" i="5"/>
  <c r="C8" i="5"/>
</calcChain>
</file>

<file path=xl/sharedStrings.xml><?xml version="1.0" encoding="utf-8"?>
<sst xmlns="http://schemas.openxmlformats.org/spreadsheetml/2006/main" count="768" uniqueCount="81">
  <si>
    <t>Value</t>
  </si>
  <si>
    <t>Unit</t>
  </si>
  <si>
    <t>Mechanical Tolerance Stack</t>
  </si>
  <si>
    <t>Notes</t>
  </si>
  <si>
    <t>Vector Name</t>
  </si>
  <si>
    <t>X</t>
  </si>
  <si>
    <t>Y</t>
  </si>
  <si>
    <t>Z</t>
  </si>
  <si>
    <t>Tx</t>
  </si>
  <si>
    <t>Ty</t>
  </si>
  <si>
    <t>Tz</t>
  </si>
  <si>
    <t>R1</t>
  </si>
  <si>
    <t>Position (mm)</t>
  </si>
  <si>
    <t>Angle (rad)</t>
  </si>
  <si>
    <t>C1</t>
  </si>
  <si>
    <t>C</t>
  </si>
  <si>
    <t>RANDOM ERROR TERMS</t>
  </si>
  <si>
    <t>Vector Tag</t>
  </si>
  <si>
    <t>R</t>
  </si>
  <si>
    <t>RESULT</t>
  </si>
  <si>
    <t>R2</t>
  </si>
  <si>
    <t>R3</t>
  </si>
  <si>
    <t>Re</t>
  </si>
  <si>
    <t>R1e</t>
  </si>
  <si>
    <t>R2e</t>
  </si>
  <si>
    <t>R3e</t>
  </si>
  <si>
    <t>MONTECARLO CONFIG</t>
  </si>
  <si>
    <t>MC_Samples</t>
  </si>
  <si>
    <t>N_SAMPLES</t>
  </si>
  <si>
    <t>Samples</t>
  </si>
  <si>
    <t>N_SIGMA</t>
  </si>
  <si>
    <t>Standard Deviations</t>
  </si>
  <si>
    <t>Sigma</t>
  </si>
  <si>
    <t>SIMULATION RESULTS</t>
  </si>
  <si>
    <t>C1v</t>
  </si>
  <si>
    <t>Cv</t>
  </si>
  <si>
    <t>Corrector</t>
  </si>
  <si>
    <t>Corrector Vector</t>
  </si>
  <si>
    <t>TolStack_ASPEDEMO</t>
  </si>
  <si>
    <t>Re_CS0_CS1</t>
  </si>
  <si>
    <t>Re_CS0_CS2</t>
  </si>
  <si>
    <t>Re_CS0_CS3</t>
  </si>
  <si>
    <t>NOMINAL VECTOR PATHS</t>
  </si>
  <si>
    <t>CS0_CS1</t>
  </si>
  <si>
    <t>CS0_CS2</t>
  </si>
  <si>
    <t>CS0_CS3</t>
  </si>
  <si>
    <t>R4</t>
  </si>
  <si>
    <t>R5</t>
  </si>
  <si>
    <t>R5e</t>
  </si>
  <si>
    <t>R4e</t>
  </si>
  <si>
    <t>R6</t>
  </si>
  <si>
    <t>R6e</t>
  </si>
  <si>
    <t>C2</t>
  </si>
  <si>
    <t>C2v</t>
  </si>
  <si>
    <t>Summary Table</t>
  </si>
  <si>
    <t>C3_1</t>
  </si>
  <si>
    <t>C3v_1</t>
  </si>
  <si>
    <t>C3_2</t>
  </si>
  <si>
    <t>C3v_2</t>
  </si>
  <si>
    <t>PLOT</t>
  </si>
  <si>
    <t>NAME</t>
  </si>
  <si>
    <t>Plotting</t>
  </si>
  <si>
    <t>Input Distribution Type</t>
  </si>
  <si>
    <t>N</t>
  </si>
  <si>
    <t>N for Normal, U for Uniform</t>
  </si>
  <si>
    <t>DISTRIBUTION</t>
  </si>
  <si>
    <t>CS0-&gt;CS3</t>
  </si>
  <si>
    <t>CS0-&gt;CS1</t>
  </si>
  <si>
    <t>CS1-&gt;CS2</t>
  </si>
  <si>
    <t>Re_CS1_CS2</t>
  </si>
  <si>
    <t>Re_CS2_CS3</t>
  </si>
  <si>
    <t>CS2-&gt;CS3</t>
  </si>
  <si>
    <t>TolStack_McCainStack</t>
  </si>
  <si>
    <t>Normal</t>
  </si>
  <si>
    <t>R7</t>
  </si>
  <si>
    <t>R8</t>
  </si>
  <si>
    <t>R9</t>
  </si>
  <si>
    <t>R10</t>
  </si>
  <si>
    <t>R11</t>
  </si>
  <si>
    <t>R12</t>
  </si>
  <si>
    <t>TolStack_HelixStack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</si>
</sst>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2" tint="-0.2499465926084170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5"/>
    <xf numFmtId="0" fontId="5" fillId="0" borderId="6"/>
    <xf numFmtId="0" fontId="5" fillId="0" borderId="8"/>
    <xf numFmtId="0" fontId="5" fillId="0" borderId="10"/>
  </cellStyleXfs>
  <cellXfs count="51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164" fontId="0" fillId="0" borderId="0" xfId="0" applyNumberFormat="1"/>
    <xf numFmtId="0" fontId="0" fillId="2" borderId="0" xfId="0" applyFill="1" applyAlignment="1">
      <alignment wrapText="1"/>
    </xf>
    <xf numFmtId="0" fontId="0" fillId="0" borderId="7" xfId="0" applyBorder="1"/>
    <xf numFmtId="0" fontId="0" fillId="3" borderId="0" xfId="0" applyFill="1" applyAlignment="1">
      <alignment wrapText="1"/>
    </xf>
    <xf numFmtId="165" fontId="0" fillId="3" borderId="0" xfId="0" applyNumberFormat="1" applyFill="1"/>
    <xf numFmtId="0" fontId="0" fillId="3" borderId="0" xfId="0" applyFill="1"/>
    <xf numFmtId="0" fontId="3" fillId="0" borderId="2" xfId="0" applyFont="1" applyBorder="1" applyAlignment="1">
      <alignment wrapText="1"/>
    </xf>
    <xf numFmtId="0" fontId="0" fillId="4" borderId="0" xfId="0" applyFill="1" applyAlignment="1">
      <alignment wrapText="1"/>
    </xf>
    <xf numFmtId="164" fontId="0" fillId="4" borderId="0" xfId="0" applyNumberFormat="1" applyFill="1"/>
    <xf numFmtId="0" fontId="0" fillId="4" borderId="6" xfId="0" applyFill="1" applyBorder="1" applyAlignment="1">
      <alignment wrapText="1"/>
    </xf>
    <xf numFmtId="0" fontId="0" fillId="4" borderId="8" xfId="0" applyFill="1" applyBorder="1" applyAlignment="1">
      <alignment wrapText="1"/>
    </xf>
    <xf numFmtId="0" fontId="0" fillId="5" borderId="0" xfId="0" applyFill="1" applyAlignment="1">
      <alignment wrapText="1"/>
    </xf>
    <xf numFmtId="11" fontId="0" fillId="5" borderId="0" xfId="0" applyNumberFormat="1" applyFill="1"/>
    <xf numFmtId="0" fontId="0" fillId="5" borderId="6" xfId="0" applyFill="1" applyBorder="1" applyAlignment="1">
      <alignment wrapText="1"/>
    </xf>
    <xf numFmtId="0" fontId="0" fillId="5" borderId="8" xfId="0" applyFill="1" applyBorder="1" applyAlignment="1">
      <alignment wrapText="1"/>
    </xf>
    <xf numFmtId="0" fontId="0" fillId="6" borderId="0" xfId="0" applyFill="1" applyAlignment="1">
      <alignment wrapText="1"/>
    </xf>
    <xf numFmtId="0" fontId="0" fillId="6" borderId="0" xfId="0" applyFill="1"/>
    <xf numFmtId="0" fontId="0" fillId="7" borderId="0" xfId="0" applyFill="1" applyAlignment="1">
      <alignment wrapText="1"/>
    </xf>
    <xf numFmtId="165" fontId="0" fillId="7" borderId="0" xfId="0" applyNumberFormat="1" applyFill="1"/>
    <xf numFmtId="0" fontId="0" fillId="7" borderId="0" xfId="0" applyFill="1"/>
    <xf numFmtId="0" fontId="3" fillId="8" borderId="0" xfId="0" applyFont="1" applyFill="1"/>
    <xf numFmtId="0" fontId="0" fillId="8" borderId="0" xfId="0" applyFill="1"/>
    <xf numFmtId="11" fontId="0" fillId="8" borderId="0" xfId="0" applyNumberFormat="1" applyFill="1"/>
    <xf numFmtId="0" fontId="0" fillId="4" borderId="9" xfId="0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9" borderId="0" xfId="0" applyFill="1" applyAlignment="1">
      <alignment wrapText="1"/>
    </xf>
    <xf numFmtId="165" fontId="0" fillId="9" borderId="0" xfId="0" applyNumberFormat="1" applyFill="1"/>
    <xf numFmtId="0" fontId="0" fillId="9" borderId="0" xfId="0" applyFill="1"/>
    <xf numFmtId="0" fontId="0" fillId="5" borderId="9" xfId="0" applyFill="1" applyBorder="1" applyAlignment="1">
      <alignment wrapText="1"/>
    </xf>
    <xf numFmtId="11" fontId="0" fillId="0" borderId="0" xfId="0" applyNumberFormat="1"/>
    <xf numFmtId="0" fontId="0" fillId="0" borderId="10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6" borderId="0" xfId="0" applyFill="1" applyAlignment="1">
      <alignment horizontal="right"/>
    </xf>
    <xf numFmtId="11" fontId="0" fillId="6" borderId="0" xfId="0" applyNumberFormat="1" applyFill="1"/>
    <xf numFmtId="165" fontId="0" fillId="0" borderId="0" xfId="0" applyNumberFormat="1"/>
    <xf numFmtId="0" fontId="0" fillId="0" borderId="11" xfId="0" applyBorder="1"/>
    <xf numFmtId="0" fontId="0" fillId="6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477C48CC-6DB0-4A7F-984D-62004635C2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eme KLA Default">
  <a:themeElements>
    <a:clrScheme name="KLA colorset">
      <a:dk1>
        <a:srgbClr val="0C0C12"/>
      </a:dk1>
      <a:lt1>
        <a:srgbClr val="FFFFFF"/>
      </a:lt1>
      <a:dk2>
        <a:srgbClr val="41007F"/>
      </a:dk2>
      <a:lt2>
        <a:srgbClr val="5A5A64"/>
      </a:lt2>
      <a:accent1>
        <a:srgbClr val="50DD3F"/>
      </a:accent1>
      <a:accent2>
        <a:srgbClr val="FF6400"/>
      </a:accent2>
      <a:accent3>
        <a:srgbClr val="00A7E1"/>
      </a:accent3>
      <a:accent4>
        <a:srgbClr val="FFAF00"/>
      </a:accent4>
      <a:accent5>
        <a:srgbClr val="F01E69"/>
      </a:accent5>
      <a:accent6>
        <a:srgbClr val="AA1DD5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solidFill>
            <a:schemeClr val="bg2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 anchor="ctr">
        <a:noAutofit/>
      </a:bodyPr>
      <a:lstStyle>
        <a:defPPr algn="l">
          <a:defRPr dirty="0"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Presentation2" id="{4B5445C8-26A6-4D79-9C1D-8CC35F431293}" vid="{CE671869-F172-442C-ACF5-F3CE9D8E777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6A84-169E-423B-9E8B-C49FBFE4C34C}">
  <dimension ref="A1:Q71"/>
  <sheetViews>
    <sheetView tabSelected="1" zoomScaleNormal="100" workbookViewId="0">
      <selection activeCell="L23" sqref="L23"/>
    </sheetView>
  </sheetViews>
  <sheetFormatPr defaultRowHeight="15" x14ac:dyDescent="0.25"/>
  <cols>
    <col min="1" max="1" width="31.5703125" style="1" customWidth="1"/>
    <col min="2" max="2" width="11.42578125" style="1" bestFit="1" customWidth="1"/>
    <col min="3" max="8" width="8.7109375" bestFit="1" customWidth="1"/>
    <col min="9" max="9" width="31" customWidth="1"/>
    <col min="11" max="11" width="14.7109375" bestFit="1" customWidth="1"/>
  </cols>
  <sheetData>
    <row r="1" spans="1:9" x14ac:dyDescent="0.25">
      <c r="A1" s="3" t="s">
        <v>38</v>
      </c>
      <c r="B1" s="3"/>
    </row>
    <row r="4" spans="1:9" x14ac:dyDescent="0.25">
      <c r="A4" s="2" t="s">
        <v>2</v>
      </c>
      <c r="B4" s="2"/>
      <c r="C4" s="9"/>
      <c r="D4" s="9"/>
      <c r="E4" s="9"/>
      <c r="F4" s="9"/>
      <c r="G4" s="9"/>
      <c r="H4" s="9"/>
    </row>
    <row r="5" spans="1:9" x14ac:dyDescent="0.25">
      <c r="A5" s="4" t="s">
        <v>42</v>
      </c>
      <c r="B5" s="4"/>
      <c r="C5" s="5"/>
      <c r="D5" s="5"/>
      <c r="E5" s="5"/>
      <c r="F5" s="5"/>
      <c r="G5" s="5"/>
      <c r="H5" s="5"/>
      <c r="I5" s="5"/>
    </row>
    <row r="6" spans="1:9" x14ac:dyDescent="0.25">
      <c r="A6" s="33" t="s">
        <v>43</v>
      </c>
      <c r="B6" s="7"/>
      <c r="C6" s="50" t="s">
        <v>12</v>
      </c>
      <c r="D6" s="50"/>
      <c r="E6" s="50"/>
      <c r="F6" s="50" t="s">
        <v>13</v>
      </c>
      <c r="G6" s="50"/>
      <c r="H6" s="50"/>
      <c r="I6" s="6"/>
    </row>
    <row r="7" spans="1:9" x14ac:dyDescent="0.25">
      <c r="A7" s="7" t="s">
        <v>4</v>
      </c>
      <c r="B7" s="7" t="s">
        <v>17</v>
      </c>
      <c r="C7" s="6" t="s">
        <v>5</v>
      </c>
      <c r="D7" s="6" t="s">
        <v>6</v>
      </c>
      <c r="E7" s="6" t="s">
        <v>7</v>
      </c>
      <c r="F7" s="6" t="s">
        <v>8</v>
      </c>
      <c r="G7" s="6" t="s">
        <v>9</v>
      </c>
      <c r="H7" s="6" t="s">
        <v>10</v>
      </c>
      <c r="I7" s="11" t="s">
        <v>3</v>
      </c>
    </row>
    <row r="8" spans="1:9" x14ac:dyDescent="0.25">
      <c r="A8" s="16" t="s">
        <v>11</v>
      </c>
      <c r="B8" s="16" t="s">
        <v>18</v>
      </c>
      <c r="C8" s="17">
        <f>D8</f>
        <v>-17.5</v>
      </c>
      <c r="D8" s="17">
        <v>-17.5</v>
      </c>
      <c r="E8" s="17">
        <v>0</v>
      </c>
      <c r="F8" s="17">
        <v>0</v>
      </c>
      <c r="G8" s="17">
        <v>0</v>
      </c>
      <c r="H8" s="17">
        <v>0</v>
      </c>
      <c r="I8" s="18"/>
    </row>
    <row r="9" spans="1:9" x14ac:dyDescent="0.25">
      <c r="A9" s="16" t="s">
        <v>20</v>
      </c>
      <c r="B9" s="16" t="s">
        <v>18</v>
      </c>
      <c r="C9" s="17">
        <f t="shared" ref="C9:C10" si="0">D9</f>
        <v>12.5</v>
      </c>
      <c r="D9" s="17">
        <v>12.5</v>
      </c>
      <c r="E9" s="17">
        <v>0</v>
      </c>
      <c r="F9" s="17">
        <v>0</v>
      </c>
      <c r="G9" s="17">
        <v>0</v>
      </c>
      <c r="H9" s="17">
        <v>0</v>
      </c>
      <c r="I9" s="19"/>
    </row>
    <row r="10" spans="1:9" x14ac:dyDescent="0.25">
      <c r="A10" s="16" t="s">
        <v>21</v>
      </c>
      <c r="B10" s="16" t="s">
        <v>18</v>
      </c>
      <c r="C10" s="17">
        <f t="shared" si="0"/>
        <v>5</v>
      </c>
      <c r="D10" s="17">
        <v>5</v>
      </c>
      <c r="E10" s="17">
        <v>-1</v>
      </c>
      <c r="F10" s="17">
        <v>0</v>
      </c>
      <c r="G10" s="17">
        <v>0</v>
      </c>
      <c r="H10" s="17">
        <v>0</v>
      </c>
      <c r="I10" s="19"/>
    </row>
    <row r="11" spans="1:9" x14ac:dyDescent="0.25">
      <c r="A11" s="4" t="s">
        <v>16</v>
      </c>
      <c r="B11" s="4"/>
      <c r="C11" s="5"/>
      <c r="D11" s="5"/>
      <c r="E11" s="5"/>
      <c r="F11" s="5"/>
      <c r="G11" s="5"/>
      <c r="H11" s="5"/>
      <c r="I11" s="10"/>
    </row>
    <row r="12" spans="1:9" x14ac:dyDescent="0.25">
      <c r="A12" s="20" t="s">
        <v>23</v>
      </c>
      <c r="B12" s="20" t="s">
        <v>22</v>
      </c>
      <c r="C12" s="21">
        <f>D12</f>
        <v>0.05</v>
      </c>
      <c r="D12" s="21">
        <v>0.05</v>
      </c>
      <c r="E12" s="21">
        <v>0</v>
      </c>
      <c r="F12" s="21">
        <f>G12</f>
        <v>2.5000000000000001E-3</v>
      </c>
      <c r="G12" s="21">
        <f>0.1/40</f>
        <v>2.5000000000000001E-3</v>
      </c>
      <c r="H12" s="21">
        <v>0.05</v>
      </c>
      <c r="I12" s="22"/>
    </row>
    <row r="13" spans="1:9" x14ac:dyDescent="0.25">
      <c r="A13" s="20" t="s">
        <v>24</v>
      </c>
      <c r="B13" s="20" t="s">
        <v>22</v>
      </c>
      <c r="C13" s="21">
        <f t="shared" ref="C13:C14" si="1">D13</f>
        <v>0.05</v>
      </c>
      <c r="D13" s="21">
        <v>0.05</v>
      </c>
      <c r="E13" s="21">
        <v>0</v>
      </c>
      <c r="F13" s="21">
        <f t="shared" ref="F13:F14" si="2">G13</f>
        <v>0</v>
      </c>
      <c r="G13" s="21">
        <v>0</v>
      </c>
      <c r="H13" s="21">
        <v>0</v>
      </c>
      <c r="I13" s="23"/>
    </row>
    <row r="14" spans="1:9" x14ac:dyDescent="0.25">
      <c r="A14" s="20" t="s">
        <v>25</v>
      </c>
      <c r="B14" s="20" t="s">
        <v>22</v>
      </c>
      <c r="C14" s="21">
        <f t="shared" si="1"/>
        <v>0.05</v>
      </c>
      <c r="D14" s="21">
        <v>0.05</v>
      </c>
      <c r="E14" s="21">
        <v>2.5000000000000001E-2</v>
      </c>
      <c r="F14" s="21">
        <f t="shared" si="2"/>
        <v>5.0000000000000001E-3</v>
      </c>
      <c r="G14" s="21">
        <f>0.05/10</f>
        <v>5.0000000000000001E-3</v>
      </c>
      <c r="H14" s="21">
        <v>0</v>
      </c>
      <c r="I14" s="23"/>
    </row>
    <row r="15" spans="1:9" x14ac:dyDescent="0.25">
      <c r="A15" s="4" t="s">
        <v>36</v>
      </c>
      <c r="B15" s="4"/>
      <c r="C15" s="5"/>
      <c r="D15" s="5"/>
      <c r="E15" s="5"/>
      <c r="F15" s="5"/>
      <c r="G15" s="5"/>
      <c r="H15" s="5"/>
      <c r="I15" s="5"/>
    </row>
    <row r="16" spans="1:9" x14ac:dyDescent="0.25">
      <c r="A16" s="7"/>
      <c r="B16" s="7"/>
      <c r="C16" s="50" t="s">
        <v>12</v>
      </c>
      <c r="D16" s="50"/>
      <c r="E16" s="50"/>
      <c r="F16" s="50" t="s">
        <v>13</v>
      </c>
      <c r="G16" s="50"/>
      <c r="H16" s="50"/>
      <c r="I16" s="6"/>
    </row>
    <row r="17" spans="1:9" x14ac:dyDescent="0.25">
      <c r="A17" s="7" t="s">
        <v>4</v>
      </c>
      <c r="B17" s="7" t="s">
        <v>17</v>
      </c>
      <c r="C17" s="6" t="s">
        <v>5</v>
      </c>
      <c r="D17" s="6" t="s">
        <v>6</v>
      </c>
      <c r="E17" s="6" t="s">
        <v>7</v>
      </c>
      <c r="F17" s="6" t="s">
        <v>8</v>
      </c>
      <c r="G17" s="6" t="s">
        <v>9</v>
      </c>
      <c r="H17" s="6" t="s">
        <v>10</v>
      </c>
      <c r="I17" s="6" t="s">
        <v>3</v>
      </c>
    </row>
    <row r="18" spans="1:9" x14ac:dyDescent="0.25">
      <c r="A18" s="26" t="s">
        <v>14</v>
      </c>
      <c r="B18" s="26" t="s">
        <v>15</v>
      </c>
      <c r="C18" s="27">
        <v>0.05</v>
      </c>
      <c r="D18" s="27">
        <v>0.05</v>
      </c>
      <c r="E18" s="27">
        <v>0</v>
      </c>
      <c r="F18" s="27">
        <v>0</v>
      </c>
      <c r="G18" s="27">
        <v>0</v>
      </c>
      <c r="H18" s="27">
        <v>0</v>
      </c>
      <c r="I18" s="28" t="s">
        <v>36</v>
      </c>
    </row>
    <row r="19" spans="1:9" x14ac:dyDescent="0.25">
      <c r="A19" s="12" t="s">
        <v>34</v>
      </c>
      <c r="B19" s="12" t="s">
        <v>35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4" t="s">
        <v>37</v>
      </c>
    </row>
    <row r="20" spans="1:9" x14ac:dyDescent="0.25">
      <c r="A20" s="34"/>
      <c r="B20" s="34"/>
      <c r="C20" s="35"/>
      <c r="D20" s="35"/>
      <c r="E20" s="35"/>
      <c r="F20" s="35"/>
      <c r="G20" s="35"/>
      <c r="H20" s="35"/>
      <c r="I20" s="36"/>
    </row>
    <row r="21" spans="1:9" x14ac:dyDescent="0.25">
      <c r="A21" s="33" t="s">
        <v>44</v>
      </c>
      <c r="B21" s="7"/>
      <c r="C21" s="46" t="s">
        <v>12</v>
      </c>
      <c r="D21" s="47"/>
      <c r="E21" s="48"/>
      <c r="F21" s="46" t="s">
        <v>13</v>
      </c>
      <c r="G21" s="47"/>
      <c r="H21" s="48"/>
      <c r="I21" s="6"/>
    </row>
    <row r="22" spans="1:9" x14ac:dyDescent="0.25">
      <c r="A22" s="7" t="s">
        <v>4</v>
      </c>
      <c r="B22" s="7" t="s">
        <v>17</v>
      </c>
      <c r="C22" s="6" t="s">
        <v>5</v>
      </c>
      <c r="D22" s="6" t="s">
        <v>6</v>
      </c>
      <c r="E22" s="6" t="s">
        <v>7</v>
      </c>
      <c r="F22" s="6" t="s">
        <v>8</v>
      </c>
      <c r="G22" s="6" t="s">
        <v>9</v>
      </c>
      <c r="H22" s="6" t="s">
        <v>10</v>
      </c>
      <c r="I22" s="11" t="s">
        <v>3</v>
      </c>
    </row>
    <row r="23" spans="1:9" x14ac:dyDescent="0.25">
      <c r="A23" s="16" t="s">
        <v>11</v>
      </c>
      <c r="B23" s="16" t="s">
        <v>18</v>
      </c>
      <c r="C23" s="17">
        <f>D23</f>
        <v>-17.5</v>
      </c>
      <c r="D23" s="17">
        <v>-17.5</v>
      </c>
      <c r="E23" s="17">
        <v>0</v>
      </c>
      <c r="F23" s="17">
        <v>0</v>
      </c>
      <c r="G23" s="17">
        <v>0</v>
      </c>
      <c r="H23" s="17">
        <v>0</v>
      </c>
      <c r="I23" s="18"/>
    </row>
    <row r="24" spans="1:9" x14ac:dyDescent="0.25">
      <c r="A24" s="16" t="s">
        <v>20</v>
      </c>
      <c r="B24" s="16" t="s">
        <v>18</v>
      </c>
      <c r="C24" s="17">
        <f t="shared" ref="C24:C27" si="3">D24</f>
        <v>5.5</v>
      </c>
      <c r="D24" s="17">
        <v>5.5</v>
      </c>
      <c r="E24" s="17">
        <v>-10</v>
      </c>
      <c r="F24" s="17">
        <v>0</v>
      </c>
      <c r="G24" s="17">
        <v>0</v>
      </c>
      <c r="H24" s="17">
        <v>0</v>
      </c>
      <c r="I24" s="19"/>
    </row>
    <row r="25" spans="1:9" x14ac:dyDescent="0.25">
      <c r="A25" s="16" t="s">
        <v>21</v>
      </c>
      <c r="B25" s="16" t="s">
        <v>18</v>
      </c>
      <c r="C25" s="17">
        <f t="shared" si="3"/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32"/>
    </row>
    <row r="26" spans="1:9" x14ac:dyDescent="0.25">
      <c r="A26" s="16" t="s">
        <v>46</v>
      </c>
      <c r="B26" s="16" t="s">
        <v>18</v>
      </c>
      <c r="C26" s="17">
        <f t="shared" si="3"/>
        <v>12.5</v>
      </c>
      <c r="D26" s="17">
        <v>12.5</v>
      </c>
      <c r="E26" s="17">
        <v>0</v>
      </c>
      <c r="F26" s="17">
        <v>0</v>
      </c>
      <c r="G26" s="17">
        <v>0</v>
      </c>
      <c r="H26" s="17">
        <v>0</v>
      </c>
      <c r="I26" s="32"/>
    </row>
    <row r="27" spans="1:9" x14ac:dyDescent="0.25">
      <c r="A27" s="16" t="s">
        <v>47</v>
      </c>
      <c r="B27" s="16" t="s">
        <v>18</v>
      </c>
      <c r="C27" s="17">
        <f t="shared" si="3"/>
        <v>0</v>
      </c>
      <c r="D27" s="17">
        <v>0</v>
      </c>
      <c r="E27" s="17">
        <v>-4</v>
      </c>
      <c r="F27" s="17">
        <v>0</v>
      </c>
      <c r="G27" s="17">
        <v>0</v>
      </c>
      <c r="H27" s="17">
        <v>0</v>
      </c>
      <c r="I27" s="19"/>
    </row>
    <row r="28" spans="1:9" x14ac:dyDescent="0.25">
      <c r="A28" s="4" t="s">
        <v>16</v>
      </c>
      <c r="B28" s="4"/>
      <c r="C28" s="5"/>
      <c r="D28" s="5"/>
      <c r="E28" s="5"/>
      <c r="F28" s="5"/>
      <c r="G28" s="5"/>
      <c r="H28" s="5"/>
      <c r="I28" s="10"/>
    </row>
    <row r="29" spans="1:9" x14ac:dyDescent="0.25">
      <c r="A29" s="20" t="s">
        <v>23</v>
      </c>
      <c r="B29" s="20" t="s">
        <v>22</v>
      </c>
      <c r="C29" s="21">
        <f>D29</f>
        <v>0.05</v>
      </c>
      <c r="D29" s="21">
        <f>D12</f>
        <v>0.05</v>
      </c>
      <c r="E29" s="21">
        <v>0</v>
      </c>
      <c r="F29" s="21">
        <f>G29</f>
        <v>2.5000000000000001E-3</v>
      </c>
      <c r="G29" s="21">
        <f>0.1/40</f>
        <v>2.5000000000000001E-3</v>
      </c>
      <c r="H29" s="21">
        <v>0</v>
      </c>
      <c r="I29" s="22"/>
    </row>
    <row r="30" spans="1:9" x14ac:dyDescent="0.25">
      <c r="A30" s="20" t="s">
        <v>24</v>
      </c>
      <c r="B30" s="20" t="s">
        <v>22</v>
      </c>
      <c r="C30" s="21">
        <f t="shared" ref="C30:C33" si="4">D30</f>
        <v>0.05</v>
      </c>
      <c r="D30" s="21">
        <v>0.05</v>
      </c>
      <c r="E30" s="21">
        <v>0.05</v>
      </c>
      <c r="F30" s="21">
        <f t="shared" ref="F30:F33" si="5">G30</f>
        <v>0</v>
      </c>
      <c r="G30" s="21">
        <v>0</v>
      </c>
      <c r="H30" s="21">
        <v>0</v>
      </c>
      <c r="I30" s="23"/>
    </row>
    <row r="31" spans="1:9" x14ac:dyDescent="0.25">
      <c r="A31" s="20" t="s">
        <v>25</v>
      </c>
      <c r="B31" s="20" t="s">
        <v>22</v>
      </c>
      <c r="C31" s="21">
        <f t="shared" si="4"/>
        <v>0.1</v>
      </c>
      <c r="D31" s="21">
        <v>0.1</v>
      </c>
      <c r="E31" s="21">
        <v>0</v>
      </c>
      <c r="F31" s="21">
        <f t="shared" si="5"/>
        <v>4.0000000000000001E-3</v>
      </c>
      <c r="G31" s="21">
        <f>0.1/25</f>
        <v>4.0000000000000001E-3</v>
      </c>
      <c r="H31" s="21">
        <v>0</v>
      </c>
      <c r="I31" s="37"/>
    </row>
    <row r="32" spans="1:9" x14ac:dyDescent="0.25">
      <c r="A32" s="20" t="s">
        <v>49</v>
      </c>
      <c r="B32" s="20" t="s">
        <v>22</v>
      </c>
      <c r="C32" s="21">
        <f t="shared" si="4"/>
        <v>0.05</v>
      </c>
      <c r="D32" s="21">
        <v>0.05</v>
      </c>
      <c r="E32" s="21">
        <v>0</v>
      </c>
      <c r="F32" s="21">
        <f t="shared" si="5"/>
        <v>0</v>
      </c>
      <c r="G32" s="21">
        <v>0</v>
      </c>
      <c r="H32" s="21">
        <v>0</v>
      </c>
      <c r="I32" s="37"/>
    </row>
    <row r="33" spans="1:9" x14ac:dyDescent="0.25">
      <c r="A33" s="20" t="s">
        <v>48</v>
      </c>
      <c r="B33" s="20" t="s">
        <v>22</v>
      </c>
      <c r="C33" s="21">
        <f t="shared" si="4"/>
        <v>0</v>
      </c>
      <c r="D33" s="21">
        <v>0</v>
      </c>
      <c r="E33" s="21">
        <v>2.5000000000000001E-2</v>
      </c>
      <c r="F33" s="21">
        <f t="shared" si="5"/>
        <v>0</v>
      </c>
      <c r="G33" s="21">
        <v>0</v>
      </c>
      <c r="H33" s="21">
        <v>0</v>
      </c>
      <c r="I33" s="23"/>
    </row>
    <row r="34" spans="1:9" x14ac:dyDescent="0.25">
      <c r="A34" s="4" t="s">
        <v>36</v>
      </c>
      <c r="B34" s="4"/>
      <c r="C34" s="5"/>
      <c r="D34" s="5"/>
      <c r="E34" s="5"/>
      <c r="F34" s="5"/>
      <c r="G34" s="5"/>
      <c r="H34" s="5"/>
      <c r="I34" s="5"/>
    </row>
    <row r="35" spans="1:9" x14ac:dyDescent="0.25">
      <c r="A35" s="7"/>
      <c r="B35" s="7"/>
      <c r="C35" s="46" t="s">
        <v>12</v>
      </c>
      <c r="D35" s="47"/>
      <c r="E35" s="48"/>
      <c r="F35" s="46" t="s">
        <v>13</v>
      </c>
      <c r="G35" s="47"/>
      <c r="H35" s="48"/>
      <c r="I35" s="6"/>
    </row>
    <row r="36" spans="1:9" x14ac:dyDescent="0.25">
      <c r="A36" s="7" t="s">
        <v>4</v>
      </c>
      <c r="B36" s="7" t="s">
        <v>17</v>
      </c>
      <c r="C36" s="6" t="s">
        <v>5</v>
      </c>
      <c r="D36" s="6" t="s">
        <v>6</v>
      </c>
      <c r="E36" s="6" t="s">
        <v>7</v>
      </c>
      <c r="F36" s="6" t="s">
        <v>8</v>
      </c>
      <c r="G36" s="6" t="s">
        <v>9</v>
      </c>
      <c r="H36" s="6" t="s">
        <v>10</v>
      </c>
      <c r="I36" s="6" t="s">
        <v>3</v>
      </c>
    </row>
    <row r="37" spans="1:9" x14ac:dyDescent="0.25">
      <c r="A37" s="26" t="s">
        <v>52</v>
      </c>
      <c r="B37" s="26" t="s">
        <v>15</v>
      </c>
      <c r="C37" s="27">
        <v>0.05</v>
      </c>
      <c r="D37" s="27">
        <v>0.05</v>
      </c>
      <c r="E37" s="27">
        <v>0.05</v>
      </c>
      <c r="F37" s="27">
        <v>1E-3</v>
      </c>
      <c r="G37" s="27">
        <v>1E-3</v>
      </c>
      <c r="H37" s="27">
        <v>0</v>
      </c>
      <c r="I37" s="28" t="s">
        <v>36</v>
      </c>
    </row>
    <row r="38" spans="1:9" x14ac:dyDescent="0.25">
      <c r="A38" s="12" t="s">
        <v>53</v>
      </c>
      <c r="B38" s="12" t="s">
        <v>35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4" t="s">
        <v>37</v>
      </c>
    </row>
    <row r="39" spans="1:9" x14ac:dyDescent="0.25">
      <c r="A39" s="34"/>
      <c r="B39" s="34"/>
      <c r="C39" s="35"/>
      <c r="D39" s="35"/>
      <c r="E39" s="35"/>
      <c r="F39" s="35"/>
      <c r="G39" s="35"/>
      <c r="H39" s="35"/>
      <c r="I39" s="36"/>
    </row>
    <row r="40" spans="1:9" x14ac:dyDescent="0.25">
      <c r="A40" s="33" t="s">
        <v>45</v>
      </c>
      <c r="B40" s="7"/>
      <c r="C40" s="46" t="s">
        <v>12</v>
      </c>
      <c r="D40" s="47"/>
      <c r="E40" s="48"/>
      <c r="F40" s="46" t="s">
        <v>13</v>
      </c>
      <c r="G40" s="47"/>
      <c r="H40" s="48"/>
      <c r="I40" s="6"/>
    </row>
    <row r="41" spans="1:9" x14ac:dyDescent="0.25">
      <c r="A41" s="7" t="s">
        <v>4</v>
      </c>
      <c r="B41" s="7" t="s">
        <v>17</v>
      </c>
      <c r="C41" s="6" t="s">
        <v>5</v>
      </c>
      <c r="D41" s="6" t="s">
        <v>6</v>
      </c>
      <c r="E41" s="6" t="s">
        <v>7</v>
      </c>
      <c r="F41" s="6" t="s">
        <v>8</v>
      </c>
      <c r="G41" s="6" t="s">
        <v>9</v>
      </c>
      <c r="H41" s="6" t="s">
        <v>10</v>
      </c>
      <c r="I41" s="11" t="s">
        <v>3</v>
      </c>
    </row>
    <row r="42" spans="1:9" x14ac:dyDescent="0.25">
      <c r="A42" s="16" t="s">
        <v>11</v>
      </c>
      <c r="B42" s="16" t="s">
        <v>18</v>
      </c>
      <c r="C42" s="17">
        <f>D42</f>
        <v>-17.5</v>
      </c>
      <c r="D42" s="17">
        <v>-17.5</v>
      </c>
      <c r="E42" s="17">
        <v>0</v>
      </c>
      <c r="F42" s="17">
        <v>0</v>
      </c>
      <c r="G42" s="17">
        <v>0</v>
      </c>
      <c r="H42" s="17">
        <v>0</v>
      </c>
      <c r="I42" s="18"/>
    </row>
    <row r="43" spans="1:9" x14ac:dyDescent="0.25">
      <c r="A43" s="16" t="s">
        <v>20</v>
      </c>
      <c r="B43" s="16" t="s">
        <v>18</v>
      </c>
      <c r="C43" s="17">
        <f t="shared" ref="C43:C47" si="6">D43</f>
        <v>0</v>
      </c>
      <c r="D43" s="17">
        <v>0</v>
      </c>
      <c r="E43" s="17">
        <v>-40</v>
      </c>
      <c r="F43" s="17">
        <v>0</v>
      </c>
      <c r="G43" s="17">
        <v>0</v>
      </c>
      <c r="H43" s="17">
        <v>0</v>
      </c>
      <c r="I43" s="32"/>
    </row>
    <row r="44" spans="1:9" x14ac:dyDescent="0.25">
      <c r="A44" s="16" t="s">
        <v>21</v>
      </c>
      <c r="B44" s="16" t="s">
        <v>18</v>
      </c>
      <c r="C44" s="17">
        <f t="shared" si="6"/>
        <v>13.5</v>
      </c>
      <c r="D44" s="17">
        <f>(35-8)/2</f>
        <v>13.5</v>
      </c>
      <c r="E44" s="17">
        <v>0</v>
      </c>
      <c r="F44" s="17">
        <v>0</v>
      </c>
      <c r="G44" s="17">
        <v>0</v>
      </c>
      <c r="H44" s="17">
        <v>0</v>
      </c>
      <c r="I44" s="32"/>
    </row>
    <row r="45" spans="1:9" x14ac:dyDescent="0.25">
      <c r="A45" s="16" t="s">
        <v>46</v>
      </c>
      <c r="B45" s="16" t="s">
        <v>18</v>
      </c>
      <c r="C45" s="17">
        <f t="shared" si="6"/>
        <v>0.5</v>
      </c>
      <c r="D45" s="17">
        <v>0.5</v>
      </c>
      <c r="E45" s="17">
        <v>0</v>
      </c>
      <c r="F45" s="17">
        <v>0</v>
      </c>
      <c r="G45" s="17">
        <v>0</v>
      </c>
      <c r="H45" s="17">
        <v>0</v>
      </c>
      <c r="I45" s="32"/>
    </row>
    <row r="46" spans="1:9" x14ac:dyDescent="0.25">
      <c r="A46" s="16" t="s">
        <v>47</v>
      </c>
      <c r="B46" s="16" t="s">
        <v>18</v>
      </c>
      <c r="C46" s="17">
        <f t="shared" si="6"/>
        <v>3.5</v>
      </c>
      <c r="D46" s="17">
        <v>3.5</v>
      </c>
      <c r="E46" s="17">
        <v>0</v>
      </c>
      <c r="F46" s="17">
        <v>0</v>
      </c>
      <c r="G46" s="17">
        <v>0</v>
      </c>
      <c r="H46" s="17">
        <v>0</v>
      </c>
      <c r="I46" s="19"/>
    </row>
    <row r="47" spans="1:9" x14ac:dyDescent="0.25">
      <c r="A47" s="16" t="s">
        <v>50</v>
      </c>
      <c r="B47" s="16" t="s">
        <v>18</v>
      </c>
      <c r="C47" s="17">
        <f t="shared" si="6"/>
        <v>0</v>
      </c>
      <c r="D47" s="17">
        <v>0</v>
      </c>
      <c r="E47" s="17">
        <v>2</v>
      </c>
      <c r="F47" s="17">
        <v>0</v>
      </c>
      <c r="G47" s="17">
        <v>0</v>
      </c>
      <c r="H47" s="17">
        <v>0</v>
      </c>
      <c r="I47" s="19"/>
    </row>
    <row r="48" spans="1:9" x14ac:dyDescent="0.25">
      <c r="A48" s="4" t="s">
        <v>16</v>
      </c>
      <c r="B48" s="4"/>
      <c r="C48" s="5"/>
      <c r="D48" s="5"/>
      <c r="E48" s="5"/>
      <c r="F48" s="5"/>
      <c r="G48" s="5"/>
      <c r="H48" s="5"/>
      <c r="I48" s="10"/>
    </row>
    <row r="49" spans="1:9" x14ac:dyDescent="0.25">
      <c r="A49" s="20" t="s">
        <v>23</v>
      </c>
      <c r="B49" s="20" t="s">
        <v>22</v>
      </c>
      <c r="C49" s="21">
        <f>D49</f>
        <v>0.05</v>
      </c>
      <c r="D49" s="21">
        <f>D32</f>
        <v>0.05</v>
      </c>
      <c r="E49" s="21">
        <v>0</v>
      </c>
      <c r="F49" s="21">
        <f>G49</f>
        <v>2.5000000000000001E-3</v>
      </c>
      <c r="G49" s="21">
        <f>0.1/40</f>
        <v>2.5000000000000001E-3</v>
      </c>
      <c r="H49" s="21">
        <v>0</v>
      </c>
      <c r="I49" s="22"/>
    </row>
    <row r="50" spans="1:9" x14ac:dyDescent="0.25">
      <c r="A50" s="20" t="s">
        <v>24</v>
      </c>
      <c r="B50" s="20" t="s">
        <v>22</v>
      </c>
      <c r="C50" s="21">
        <f t="shared" ref="C50:C54" si="7">D50</f>
        <v>0</v>
      </c>
      <c r="D50" s="21">
        <v>0</v>
      </c>
      <c r="E50" s="21">
        <v>0.1</v>
      </c>
      <c r="F50" s="21">
        <f t="shared" ref="F50:F54" si="8">G50</f>
        <v>0</v>
      </c>
      <c r="G50" s="21">
        <v>0</v>
      </c>
      <c r="H50" s="21">
        <v>0</v>
      </c>
      <c r="I50" s="37"/>
    </row>
    <row r="51" spans="1:9" x14ac:dyDescent="0.25">
      <c r="A51" s="20" t="s">
        <v>25</v>
      </c>
      <c r="B51" s="20" t="s">
        <v>22</v>
      </c>
      <c r="C51" s="21">
        <f t="shared" si="7"/>
        <v>0.05</v>
      </c>
      <c r="D51" s="21">
        <v>0.05</v>
      </c>
      <c r="E51" s="21">
        <v>0</v>
      </c>
      <c r="F51" s="21">
        <f t="shared" si="8"/>
        <v>0</v>
      </c>
      <c r="G51" s="21">
        <v>0</v>
      </c>
      <c r="H51" s="21">
        <v>0</v>
      </c>
      <c r="I51" s="37"/>
    </row>
    <row r="52" spans="1:9" x14ac:dyDescent="0.25">
      <c r="A52" s="20" t="s">
        <v>49</v>
      </c>
      <c r="B52" s="20" t="s">
        <v>22</v>
      </c>
      <c r="C52" s="21">
        <f t="shared" si="7"/>
        <v>0.5</v>
      </c>
      <c r="D52" s="21">
        <v>0.5</v>
      </c>
      <c r="E52" s="21">
        <v>0</v>
      </c>
      <c r="F52" s="21">
        <f t="shared" si="8"/>
        <v>0</v>
      </c>
      <c r="G52" s="21">
        <v>0</v>
      </c>
      <c r="H52" s="21">
        <v>0</v>
      </c>
      <c r="I52" s="37"/>
    </row>
    <row r="53" spans="1:9" x14ac:dyDescent="0.25">
      <c r="A53" s="20" t="s">
        <v>48</v>
      </c>
      <c r="B53" s="20" t="s">
        <v>22</v>
      </c>
      <c r="C53" s="21">
        <f t="shared" si="7"/>
        <v>0.05</v>
      </c>
      <c r="D53" s="21">
        <v>0.05</v>
      </c>
      <c r="E53" s="21">
        <v>0</v>
      </c>
      <c r="F53" s="21">
        <f t="shared" si="8"/>
        <v>6.25E-2</v>
      </c>
      <c r="G53" s="21">
        <f>0.5/8</f>
        <v>6.25E-2</v>
      </c>
      <c r="H53" s="21">
        <v>0</v>
      </c>
      <c r="I53" s="23"/>
    </row>
    <row r="54" spans="1:9" x14ac:dyDescent="0.25">
      <c r="A54" s="20" t="s">
        <v>51</v>
      </c>
      <c r="B54" s="20" t="s">
        <v>22</v>
      </c>
      <c r="C54" s="21">
        <f t="shared" si="7"/>
        <v>0</v>
      </c>
      <c r="D54" s="21">
        <v>0</v>
      </c>
      <c r="E54" s="21">
        <v>0.05</v>
      </c>
      <c r="F54" s="21">
        <f t="shared" si="8"/>
        <v>0</v>
      </c>
      <c r="G54" s="21">
        <v>0</v>
      </c>
      <c r="H54" s="21">
        <v>0</v>
      </c>
      <c r="I54" s="23"/>
    </row>
    <row r="55" spans="1:9" x14ac:dyDescent="0.25">
      <c r="A55" s="4" t="s">
        <v>36</v>
      </c>
      <c r="B55" s="4"/>
      <c r="C55" s="5"/>
      <c r="D55" s="5"/>
      <c r="E55" s="5"/>
      <c r="F55" s="5"/>
      <c r="G55" s="5"/>
      <c r="H55" s="5"/>
      <c r="I55" s="5"/>
    </row>
    <row r="56" spans="1:9" x14ac:dyDescent="0.25">
      <c r="A56" s="7"/>
      <c r="B56" s="7"/>
      <c r="C56" s="46" t="s">
        <v>12</v>
      </c>
      <c r="D56" s="47"/>
      <c r="E56" s="48"/>
      <c r="F56" s="46" t="s">
        <v>13</v>
      </c>
      <c r="G56" s="47"/>
      <c r="H56" s="48"/>
      <c r="I56" s="6"/>
    </row>
    <row r="57" spans="1:9" x14ac:dyDescent="0.25">
      <c r="A57" s="7" t="s">
        <v>4</v>
      </c>
      <c r="B57" s="7" t="s">
        <v>17</v>
      </c>
      <c r="C57" s="6" t="s">
        <v>5</v>
      </c>
      <c r="D57" s="6" t="s">
        <v>6</v>
      </c>
      <c r="E57" s="6" t="s">
        <v>7</v>
      </c>
      <c r="F57" s="6" t="s">
        <v>8</v>
      </c>
      <c r="G57" s="6" t="s">
        <v>9</v>
      </c>
      <c r="H57" s="6" t="s">
        <v>10</v>
      </c>
      <c r="I57" s="6" t="s">
        <v>3</v>
      </c>
    </row>
    <row r="58" spans="1:9" x14ac:dyDescent="0.25">
      <c r="A58" s="26" t="s">
        <v>55</v>
      </c>
      <c r="B58" s="26" t="s">
        <v>15</v>
      </c>
      <c r="C58" s="27">
        <v>0.05</v>
      </c>
      <c r="D58" s="27">
        <v>0.05</v>
      </c>
      <c r="E58" s="27">
        <v>0.05</v>
      </c>
      <c r="F58" s="27">
        <v>1E-3</v>
      </c>
      <c r="G58" s="27">
        <v>1E-3</v>
      </c>
      <c r="H58" s="27">
        <v>0</v>
      </c>
      <c r="I58" s="28" t="s">
        <v>36</v>
      </c>
    </row>
    <row r="59" spans="1:9" hidden="1" x14ac:dyDescent="0.25">
      <c r="A59" s="26" t="s">
        <v>57</v>
      </c>
      <c r="B59" s="26" t="s">
        <v>15</v>
      </c>
      <c r="C59" s="27">
        <v>0.05</v>
      </c>
      <c r="D59" s="27">
        <v>0.05</v>
      </c>
      <c r="E59" s="27">
        <v>0</v>
      </c>
      <c r="F59" s="27">
        <v>0</v>
      </c>
      <c r="G59" s="27">
        <v>0</v>
      </c>
      <c r="H59" s="27">
        <v>0</v>
      </c>
      <c r="I59" s="28" t="s">
        <v>36</v>
      </c>
    </row>
    <row r="60" spans="1:9" x14ac:dyDescent="0.25">
      <c r="A60" s="12" t="s">
        <v>56</v>
      </c>
      <c r="B60" s="12" t="s">
        <v>35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4" t="s">
        <v>37</v>
      </c>
    </row>
    <row r="61" spans="1:9" hidden="1" x14ac:dyDescent="0.25">
      <c r="A61" s="12" t="s">
        <v>58</v>
      </c>
      <c r="B61" s="12" t="s">
        <v>35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4" t="s">
        <v>37</v>
      </c>
    </row>
    <row r="62" spans="1:9" x14ac:dyDescent="0.25">
      <c r="A62" s="4" t="s">
        <v>26</v>
      </c>
      <c r="B62" s="4"/>
      <c r="C62" s="5"/>
      <c r="D62" s="5"/>
      <c r="E62" s="5"/>
      <c r="F62" s="5"/>
      <c r="G62" s="5"/>
      <c r="H62" s="5"/>
      <c r="I62" s="5"/>
    </row>
    <row r="63" spans="1:9" x14ac:dyDescent="0.25">
      <c r="A63" s="7" t="s">
        <v>4</v>
      </c>
      <c r="B63" s="7" t="s">
        <v>17</v>
      </c>
      <c r="C63" s="7" t="s">
        <v>0</v>
      </c>
      <c r="D63" s="49" t="s">
        <v>1</v>
      </c>
      <c r="E63" s="49"/>
      <c r="F63" s="39"/>
    </row>
    <row r="64" spans="1:9" x14ac:dyDescent="0.25">
      <c r="A64" s="24" t="s">
        <v>27</v>
      </c>
      <c r="B64" s="24" t="s">
        <v>28</v>
      </c>
      <c r="C64" s="25">
        <v>1000</v>
      </c>
      <c r="D64" s="45" t="s">
        <v>29</v>
      </c>
      <c r="E64" s="45"/>
    </row>
    <row r="65" spans="1:17" x14ac:dyDescent="0.25">
      <c r="A65" s="24" t="s">
        <v>32</v>
      </c>
      <c r="B65" s="24" t="s">
        <v>30</v>
      </c>
      <c r="C65" s="25">
        <v>3</v>
      </c>
      <c r="D65" s="45" t="s">
        <v>31</v>
      </c>
      <c r="E65" s="45"/>
    </row>
    <row r="66" spans="1:17" x14ac:dyDescent="0.25">
      <c r="A66" s="4" t="s">
        <v>33</v>
      </c>
      <c r="B66" s="4"/>
      <c r="C66" s="5"/>
      <c r="D66" s="5"/>
      <c r="E66" s="5"/>
      <c r="F66" s="5"/>
      <c r="G66" s="5"/>
      <c r="H66" s="5"/>
      <c r="I66" s="5"/>
      <c r="K66" t="s">
        <v>54</v>
      </c>
    </row>
    <row r="67" spans="1:17" x14ac:dyDescent="0.25">
      <c r="A67" s="8"/>
      <c r="B67" s="15"/>
      <c r="C67" s="46" t="s">
        <v>12</v>
      </c>
      <c r="D67" s="47"/>
      <c r="E67" s="48"/>
      <c r="F67" s="46" t="s">
        <v>13</v>
      </c>
      <c r="G67" s="47"/>
      <c r="H67" s="48"/>
      <c r="I67" s="6"/>
    </row>
    <row r="68" spans="1:17" x14ac:dyDescent="0.25">
      <c r="A68" s="7" t="s">
        <v>4</v>
      </c>
      <c r="B68" s="7" t="s">
        <v>17</v>
      </c>
      <c r="C68" s="6" t="s">
        <v>5</v>
      </c>
      <c r="D68" s="6" t="s">
        <v>6</v>
      </c>
      <c r="E68" s="6" t="s">
        <v>7</v>
      </c>
      <c r="F68" s="6" t="s">
        <v>8</v>
      </c>
      <c r="G68" s="6" t="s">
        <v>9</v>
      </c>
      <c r="H68" s="6" t="s">
        <v>10</v>
      </c>
      <c r="I68" s="6" t="s">
        <v>3</v>
      </c>
      <c r="K68" t="str">
        <f>A68</f>
        <v>Vector Name</v>
      </c>
      <c r="L68" t="str">
        <f>C68</f>
        <v>X</v>
      </c>
      <c r="M68" t="str">
        <f t="shared" ref="M68:P68" si="9">D68</f>
        <v>Y</v>
      </c>
      <c r="N68" t="str">
        <f t="shared" si="9"/>
        <v>Z</v>
      </c>
      <c r="O68" t="str">
        <f t="shared" si="9"/>
        <v>Tx</v>
      </c>
      <c r="P68" t="str">
        <f t="shared" si="9"/>
        <v>Ty</v>
      </c>
      <c r="Q68" t="str">
        <f>H68</f>
        <v>Tz</v>
      </c>
    </row>
    <row r="69" spans="1:17" x14ac:dyDescent="0.25">
      <c r="A69" s="29" t="s">
        <v>39</v>
      </c>
      <c r="B69" s="30" t="s">
        <v>19</v>
      </c>
      <c r="C69" s="31">
        <v>0.53768502236009053</v>
      </c>
      <c r="D69" s="31">
        <v>0.52405816090151047</v>
      </c>
      <c r="E69" s="31">
        <v>0.33364688437816131</v>
      </c>
      <c r="F69" s="31">
        <v>6.5377323939310492E-2</v>
      </c>
      <c r="G69" s="31">
        <v>6.323730504299202E-2</v>
      </c>
      <c r="H69" s="31">
        <v>5.399956711587486E-5</v>
      </c>
      <c r="I69" s="31"/>
      <c r="K69" t="str">
        <f>A69</f>
        <v>Re_CS0_CS1</v>
      </c>
      <c r="L69" s="38">
        <f t="shared" ref="L69:L71" si="10">C69</f>
        <v>0.53768502236009053</v>
      </c>
      <c r="M69" s="38">
        <f t="shared" ref="M69:M71" si="11">D69</f>
        <v>0.52405816090151047</v>
      </c>
      <c r="N69" s="38">
        <f t="shared" ref="N69:N71" si="12">E69</f>
        <v>0.33364688437816131</v>
      </c>
      <c r="O69" s="38">
        <f t="shared" ref="O69:O71" si="13">F69</f>
        <v>6.5377323939310492E-2</v>
      </c>
      <c r="P69" s="38">
        <f t="shared" ref="P69:P71" si="14">G69</f>
        <v>6.323730504299202E-2</v>
      </c>
      <c r="Q69" s="38">
        <f t="shared" ref="Q69:Q71" si="15">H69</f>
        <v>5.399956711587486E-5</v>
      </c>
    </row>
    <row r="70" spans="1:17" x14ac:dyDescent="0.25">
      <c r="A70" s="29" t="s">
        <v>40</v>
      </c>
      <c r="B70" s="30" t="s">
        <v>19</v>
      </c>
      <c r="C70" s="31">
        <v>5.0188016790379569E-2</v>
      </c>
      <c r="D70" s="31">
        <v>0.35964268314955439</v>
      </c>
      <c r="E70" s="31">
        <v>0.55539839802202517</v>
      </c>
      <c r="F70" s="31">
        <v>0.31792528909111695</v>
      </c>
      <c r="G70" s="31">
        <v>6.2706709388616125E-2</v>
      </c>
      <c r="H70" s="31">
        <v>4.3526973066535093E-2</v>
      </c>
      <c r="I70" s="31"/>
      <c r="K70" t="str">
        <f>A70</f>
        <v>Re_CS0_CS2</v>
      </c>
      <c r="L70" s="38">
        <f t="shared" si="10"/>
        <v>5.0188016790379569E-2</v>
      </c>
      <c r="M70" s="38">
        <f t="shared" si="11"/>
        <v>0.35964268314955439</v>
      </c>
      <c r="N70" s="38">
        <f t="shared" si="12"/>
        <v>0.55539839802202517</v>
      </c>
      <c r="O70" s="38">
        <f t="shared" si="13"/>
        <v>0.31792528909111695</v>
      </c>
      <c r="P70" s="38">
        <f t="shared" si="14"/>
        <v>6.2706709388616125E-2</v>
      </c>
      <c r="Q70" s="38">
        <f t="shared" si="15"/>
        <v>4.3526973066535093E-2</v>
      </c>
    </row>
    <row r="71" spans="1:17" x14ac:dyDescent="0.25">
      <c r="A71" s="29" t="s">
        <v>41</v>
      </c>
      <c r="B71" s="30" t="s">
        <v>19</v>
      </c>
      <c r="C71" s="31">
        <v>5.0583291553579698E-2</v>
      </c>
      <c r="D71" s="31">
        <v>5.0381174077331933E-2</v>
      </c>
      <c r="E71" s="31">
        <v>5.0738767853048976E-2</v>
      </c>
      <c r="F71" s="31">
        <v>1.0232861595298041E-3</v>
      </c>
      <c r="G71" s="31">
        <v>1.0225196828371804E-3</v>
      </c>
      <c r="H71" s="31">
        <v>1.3368581788470012E-3</v>
      </c>
      <c r="I71" s="31"/>
      <c r="K71" t="str">
        <f>A71</f>
        <v>Re_CS0_CS3</v>
      </c>
      <c r="L71" s="38">
        <f t="shared" si="10"/>
        <v>5.0583291553579698E-2</v>
      </c>
      <c r="M71" s="38">
        <f t="shared" si="11"/>
        <v>5.0381174077331933E-2</v>
      </c>
      <c r="N71" s="38">
        <f t="shared" si="12"/>
        <v>5.0738767853048976E-2</v>
      </c>
      <c r="O71" s="38">
        <f t="shared" si="13"/>
        <v>1.0232861595298041E-3</v>
      </c>
      <c r="P71" s="38">
        <f t="shared" si="14"/>
        <v>1.0225196828371804E-3</v>
      </c>
      <c r="Q71" s="38">
        <f t="shared" si="15"/>
        <v>1.3368581788470012E-3</v>
      </c>
    </row>
  </sheetData>
  <mergeCells count="17">
    <mergeCell ref="F56:H56"/>
    <mergeCell ref="D65:E65"/>
    <mergeCell ref="C67:E67"/>
    <mergeCell ref="F67:H67"/>
    <mergeCell ref="D64:E64"/>
    <mergeCell ref="C6:E6"/>
    <mergeCell ref="F6:H6"/>
    <mergeCell ref="C16:E16"/>
    <mergeCell ref="F16:H16"/>
    <mergeCell ref="D63:E63"/>
    <mergeCell ref="C21:E21"/>
    <mergeCell ref="F21:H21"/>
    <mergeCell ref="C35:E35"/>
    <mergeCell ref="F35:H35"/>
    <mergeCell ref="C40:E40"/>
    <mergeCell ref="F40:H40"/>
    <mergeCell ref="C56:E56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9D8E-6C33-49AB-9C40-DFDC7B22B8AB}">
  <dimension ref="A1:Q38"/>
  <sheetViews>
    <sheetView zoomScaleNormal="100" workbookViewId="0">
      <selection activeCell="C16" sqref="C16"/>
    </sheetView>
  </sheetViews>
  <sheetFormatPr defaultRowHeight="15" x14ac:dyDescent="0.25"/>
  <cols>
    <col min="1" max="1" width="31.5703125" style="1" customWidth="1"/>
    <col min="2" max="2" width="14.28515625" style="1" customWidth="1"/>
    <col min="3" max="8" width="8.7109375" bestFit="1" customWidth="1"/>
    <col min="9" max="9" width="31" customWidth="1"/>
    <col min="11" max="11" width="14.7109375" hidden="1" customWidth="1"/>
    <col min="12" max="17" width="0" hidden="1" customWidth="1"/>
  </cols>
  <sheetData>
    <row r="1" spans="1:9" x14ac:dyDescent="0.25">
      <c r="A1" s="3" t="s">
        <v>38</v>
      </c>
      <c r="B1" s="3"/>
    </row>
    <row r="4" spans="1:9" x14ac:dyDescent="0.25">
      <c r="A4" s="2"/>
      <c r="B4" s="2"/>
      <c r="C4" s="9"/>
      <c r="D4" s="9"/>
      <c r="E4" s="9"/>
      <c r="F4" s="9"/>
      <c r="G4" s="9"/>
      <c r="H4" s="9"/>
    </row>
    <row r="5" spans="1:9" x14ac:dyDescent="0.25">
      <c r="A5" s="4" t="s">
        <v>42</v>
      </c>
      <c r="B5" s="4"/>
      <c r="C5" s="5"/>
      <c r="D5" s="5"/>
      <c r="E5" s="5"/>
      <c r="F5" s="5"/>
      <c r="G5" s="5"/>
      <c r="H5" s="5"/>
      <c r="I5" s="5"/>
    </row>
    <row r="6" spans="1:9" x14ac:dyDescent="0.25">
      <c r="A6" s="40" t="s">
        <v>60</v>
      </c>
      <c r="B6" s="7" t="s">
        <v>66</v>
      </c>
      <c r="C6" s="46" t="s">
        <v>12</v>
      </c>
      <c r="D6" s="47"/>
      <c r="E6" s="48"/>
      <c r="F6" s="46" t="s">
        <v>13</v>
      </c>
      <c r="G6" s="47"/>
      <c r="H6" s="48"/>
      <c r="I6" s="6"/>
    </row>
    <row r="7" spans="1:9" x14ac:dyDescent="0.25">
      <c r="A7" s="7" t="s">
        <v>4</v>
      </c>
      <c r="B7" s="7" t="s">
        <v>17</v>
      </c>
      <c r="C7" s="6" t="s">
        <v>5</v>
      </c>
      <c r="D7" s="6" t="s">
        <v>6</v>
      </c>
      <c r="E7" s="6" t="s">
        <v>7</v>
      </c>
      <c r="F7" s="6" t="s">
        <v>8</v>
      </c>
      <c r="G7" s="6" t="s">
        <v>9</v>
      </c>
      <c r="H7" s="6" t="s">
        <v>10</v>
      </c>
      <c r="I7" s="6" t="s">
        <v>3</v>
      </c>
    </row>
    <row r="8" spans="1:9" x14ac:dyDescent="0.25">
      <c r="A8" s="16" t="s">
        <v>11</v>
      </c>
      <c r="B8" s="16" t="s">
        <v>18</v>
      </c>
      <c r="C8" s="17">
        <f>D8</f>
        <v>-17.5</v>
      </c>
      <c r="D8" s="17">
        <v>-17.5</v>
      </c>
      <c r="E8" s="17">
        <v>0</v>
      </c>
      <c r="F8" s="17">
        <v>0</v>
      </c>
      <c r="G8" s="17">
        <v>0</v>
      </c>
      <c r="H8" s="17">
        <v>0</v>
      </c>
      <c r="I8" s="18"/>
    </row>
    <row r="9" spans="1:9" x14ac:dyDescent="0.25">
      <c r="A9" s="16" t="s">
        <v>20</v>
      </c>
      <c r="B9" s="16" t="s">
        <v>18</v>
      </c>
      <c r="C9" s="17">
        <f t="shared" ref="C9:C13" si="0">D9</f>
        <v>0</v>
      </c>
      <c r="D9" s="17">
        <v>0</v>
      </c>
      <c r="E9" s="17">
        <v>-40</v>
      </c>
      <c r="F9" s="17">
        <v>0</v>
      </c>
      <c r="G9" s="17">
        <v>0</v>
      </c>
      <c r="H9" s="17">
        <v>0</v>
      </c>
      <c r="I9" s="32"/>
    </row>
    <row r="10" spans="1:9" x14ac:dyDescent="0.25">
      <c r="A10" s="16" t="s">
        <v>21</v>
      </c>
      <c r="B10" s="16" t="s">
        <v>18</v>
      </c>
      <c r="C10" s="17">
        <f t="shared" si="0"/>
        <v>13.5</v>
      </c>
      <c r="D10" s="17">
        <f>(35-8)/2</f>
        <v>13.5</v>
      </c>
      <c r="E10" s="17">
        <v>0</v>
      </c>
      <c r="F10" s="17">
        <v>0</v>
      </c>
      <c r="G10" s="17">
        <v>0</v>
      </c>
      <c r="H10" s="17">
        <v>0</v>
      </c>
      <c r="I10" s="32"/>
    </row>
    <row r="11" spans="1:9" x14ac:dyDescent="0.25">
      <c r="A11" s="16" t="s">
        <v>46</v>
      </c>
      <c r="B11" s="16" t="s">
        <v>18</v>
      </c>
      <c r="C11" s="17">
        <f t="shared" si="0"/>
        <v>0.5</v>
      </c>
      <c r="D11" s="17">
        <v>0.5</v>
      </c>
      <c r="E11" s="17">
        <v>0</v>
      </c>
      <c r="F11" s="17">
        <v>0</v>
      </c>
      <c r="G11" s="17">
        <v>0</v>
      </c>
      <c r="H11" s="17">
        <v>0</v>
      </c>
      <c r="I11" s="32"/>
    </row>
    <row r="12" spans="1:9" x14ac:dyDescent="0.25">
      <c r="A12" s="16" t="s">
        <v>47</v>
      </c>
      <c r="B12" s="16" t="s">
        <v>18</v>
      </c>
      <c r="C12" s="17">
        <f t="shared" si="0"/>
        <v>3.5</v>
      </c>
      <c r="D12" s="17">
        <v>3.5</v>
      </c>
      <c r="E12" s="17">
        <v>0</v>
      </c>
      <c r="F12" s="17">
        <v>0</v>
      </c>
      <c r="G12" s="17">
        <v>0</v>
      </c>
      <c r="H12" s="17">
        <v>0</v>
      </c>
      <c r="I12" s="19"/>
    </row>
    <row r="13" spans="1:9" x14ac:dyDescent="0.25">
      <c r="A13" s="16" t="s">
        <v>50</v>
      </c>
      <c r="B13" s="16" t="s">
        <v>18</v>
      </c>
      <c r="C13" s="17">
        <f t="shared" si="0"/>
        <v>0</v>
      </c>
      <c r="D13" s="17">
        <v>0</v>
      </c>
      <c r="E13" s="17">
        <v>2</v>
      </c>
      <c r="F13" s="17">
        <v>0</v>
      </c>
      <c r="G13" s="17">
        <v>0</v>
      </c>
      <c r="H13" s="17">
        <v>0</v>
      </c>
      <c r="I13" s="19"/>
    </row>
    <row r="14" spans="1:9" x14ac:dyDescent="0.25">
      <c r="A14" s="4" t="s">
        <v>16</v>
      </c>
      <c r="B14" s="4"/>
      <c r="C14" s="5"/>
      <c r="D14" s="5"/>
      <c r="E14" s="5"/>
      <c r="F14" s="5"/>
      <c r="G14" s="5"/>
      <c r="H14" s="5"/>
      <c r="I14" s="10"/>
    </row>
    <row r="15" spans="1:9" x14ac:dyDescent="0.25">
      <c r="A15" s="20" t="s">
        <v>23</v>
      </c>
      <c r="B15" s="20" t="s">
        <v>22</v>
      </c>
      <c r="C15" s="21">
        <v>0.05</v>
      </c>
      <c r="D15" s="21">
        <v>0.05</v>
      </c>
      <c r="E15" s="21">
        <v>0</v>
      </c>
      <c r="F15" s="21">
        <f>G15</f>
        <v>2.5000000000000001E-3</v>
      </c>
      <c r="G15" s="21">
        <f>0.1/40</f>
        <v>2.5000000000000001E-3</v>
      </c>
      <c r="H15" s="21">
        <v>0</v>
      </c>
      <c r="I15" s="22"/>
    </row>
    <row r="16" spans="1:9" x14ac:dyDescent="0.25">
      <c r="A16" s="20" t="s">
        <v>24</v>
      </c>
      <c r="B16" s="20" t="s">
        <v>22</v>
      </c>
      <c r="C16" s="21">
        <f t="shared" ref="C16:C20" si="1">D16</f>
        <v>0</v>
      </c>
      <c r="D16" s="21">
        <v>0</v>
      </c>
      <c r="E16" s="21">
        <v>0.1</v>
      </c>
      <c r="F16" s="21">
        <f t="shared" ref="F16:F20" si="2">G16</f>
        <v>0</v>
      </c>
      <c r="G16" s="21">
        <v>0</v>
      </c>
      <c r="H16" s="21">
        <v>0</v>
      </c>
      <c r="I16" s="37"/>
    </row>
    <row r="17" spans="1:9" x14ac:dyDescent="0.25">
      <c r="A17" s="20" t="s">
        <v>25</v>
      </c>
      <c r="B17" s="20" t="s">
        <v>22</v>
      </c>
      <c r="C17" s="21">
        <f t="shared" si="1"/>
        <v>0.05</v>
      </c>
      <c r="D17" s="21">
        <v>0.05</v>
      </c>
      <c r="E17" s="21">
        <v>0</v>
      </c>
      <c r="F17" s="21">
        <f t="shared" si="2"/>
        <v>0</v>
      </c>
      <c r="G17" s="21">
        <v>0</v>
      </c>
      <c r="H17" s="21">
        <v>0</v>
      </c>
      <c r="I17" s="37"/>
    </row>
    <row r="18" spans="1:9" x14ac:dyDescent="0.25">
      <c r="A18" s="20" t="s">
        <v>49</v>
      </c>
      <c r="B18" s="20" t="s">
        <v>22</v>
      </c>
      <c r="C18" s="21">
        <f t="shared" si="1"/>
        <v>0.5</v>
      </c>
      <c r="D18" s="21">
        <v>0.5</v>
      </c>
      <c r="E18" s="21">
        <v>0</v>
      </c>
      <c r="F18" s="21">
        <f t="shared" si="2"/>
        <v>0</v>
      </c>
      <c r="G18" s="21">
        <v>0</v>
      </c>
      <c r="H18" s="21">
        <v>0</v>
      </c>
      <c r="I18" s="37"/>
    </row>
    <row r="19" spans="1:9" x14ac:dyDescent="0.25">
      <c r="A19" s="20" t="s">
        <v>48</v>
      </c>
      <c r="B19" s="20" t="s">
        <v>22</v>
      </c>
      <c r="C19" s="21">
        <f t="shared" si="1"/>
        <v>0.05</v>
      </c>
      <c r="D19" s="21">
        <v>0.05</v>
      </c>
      <c r="E19" s="21">
        <v>0</v>
      </c>
      <c r="F19" s="21">
        <f t="shared" si="2"/>
        <v>6.25E-2</v>
      </c>
      <c r="G19" s="21">
        <f>0.5/8</f>
        <v>6.25E-2</v>
      </c>
      <c r="H19" s="21">
        <v>0</v>
      </c>
      <c r="I19" s="23"/>
    </row>
    <row r="20" spans="1:9" x14ac:dyDescent="0.25">
      <c r="A20" s="20" t="s">
        <v>51</v>
      </c>
      <c r="B20" s="20" t="s">
        <v>22</v>
      </c>
      <c r="C20" s="21">
        <f t="shared" si="1"/>
        <v>0</v>
      </c>
      <c r="D20" s="21">
        <v>0</v>
      </c>
      <c r="E20" s="21">
        <v>0.05</v>
      </c>
      <c r="F20" s="21">
        <f t="shared" si="2"/>
        <v>0</v>
      </c>
      <c r="G20" s="21">
        <v>0</v>
      </c>
      <c r="H20" s="21">
        <v>0</v>
      </c>
      <c r="I20" s="23"/>
    </row>
    <row r="21" spans="1:9" x14ac:dyDescent="0.25">
      <c r="A21" s="4" t="s">
        <v>36</v>
      </c>
      <c r="B21" s="4"/>
      <c r="C21" s="5"/>
      <c r="D21" s="5"/>
      <c r="E21" s="5"/>
      <c r="F21" s="5"/>
      <c r="G21" s="5"/>
      <c r="H21" s="5"/>
      <c r="I21" s="5"/>
    </row>
    <row r="22" spans="1:9" x14ac:dyDescent="0.25">
      <c r="A22" s="7"/>
      <c r="B22" s="7"/>
      <c r="C22" s="46" t="s">
        <v>12</v>
      </c>
      <c r="D22" s="47"/>
      <c r="E22" s="48"/>
      <c r="F22" s="46" t="s">
        <v>13</v>
      </c>
      <c r="G22" s="47"/>
      <c r="H22" s="48"/>
      <c r="I22" s="6"/>
    </row>
    <row r="23" spans="1:9" x14ac:dyDescent="0.25">
      <c r="A23" s="7" t="s">
        <v>4</v>
      </c>
      <c r="B23" s="7" t="s">
        <v>17</v>
      </c>
      <c r="C23" s="6" t="s">
        <v>5</v>
      </c>
      <c r="D23" s="6" t="s">
        <v>6</v>
      </c>
      <c r="E23" s="6" t="s">
        <v>7</v>
      </c>
      <c r="F23" s="6" t="s">
        <v>8</v>
      </c>
      <c r="G23" s="6" t="s">
        <v>9</v>
      </c>
      <c r="H23" s="6" t="s">
        <v>10</v>
      </c>
      <c r="I23" s="6" t="s">
        <v>3</v>
      </c>
    </row>
    <row r="24" spans="1:9" x14ac:dyDescent="0.25">
      <c r="A24" s="26" t="s">
        <v>55</v>
      </c>
      <c r="B24" s="26" t="s">
        <v>15</v>
      </c>
      <c r="C24" s="27">
        <v>0</v>
      </c>
      <c r="D24" s="27">
        <v>0</v>
      </c>
      <c r="E24" s="27">
        <v>0</v>
      </c>
      <c r="F24" s="27">
        <v>0</v>
      </c>
      <c r="G24" s="27">
        <v>0</v>
      </c>
      <c r="H24" s="27">
        <v>0</v>
      </c>
      <c r="I24" s="28" t="s">
        <v>36</v>
      </c>
    </row>
    <row r="25" spans="1:9" hidden="1" x14ac:dyDescent="0.25">
      <c r="A25" s="26" t="s">
        <v>57</v>
      </c>
      <c r="B25" s="26" t="s">
        <v>15</v>
      </c>
      <c r="C25" s="27">
        <v>0.05</v>
      </c>
      <c r="D25" s="27">
        <v>0.05</v>
      </c>
      <c r="E25" s="27">
        <v>0</v>
      </c>
      <c r="F25" s="27">
        <v>0</v>
      </c>
      <c r="G25" s="27">
        <v>0</v>
      </c>
      <c r="H25" s="27">
        <v>0</v>
      </c>
      <c r="I25" s="28" t="s">
        <v>36</v>
      </c>
    </row>
    <row r="26" spans="1:9" x14ac:dyDescent="0.25">
      <c r="A26" s="12" t="s">
        <v>56</v>
      </c>
      <c r="B26" s="12" t="s">
        <v>35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4" t="s">
        <v>37</v>
      </c>
    </row>
    <row r="27" spans="1:9" hidden="1" x14ac:dyDescent="0.25">
      <c r="A27" s="12" t="s">
        <v>58</v>
      </c>
      <c r="B27" s="12" t="s">
        <v>35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4" t="s">
        <v>37</v>
      </c>
    </row>
    <row r="28" spans="1:9" x14ac:dyDescent="0.25">
      <c r="A28" s="4" t="s">
        <v>26</v>
      </c>
      <c r="B28" s="4"/>
      <c r="C28" s="5"/>
      <c r="D28" s="5"/>
      <c r="E28" s="5"/>
      <c r="F28" s="5"/>
      <c r="G28" s="5"/>
      <c r="H28" s="5"/>
      <c r="I28" s="5"/>
    </row>
    <row r="29" spans="1:9" x14ac:dyDescent="0.25">
      <c r="A29" s="7" t="s">
        <v>4</v>
      </c>
      <c r="B29" s="7" t="s">
        <v>17</v>
      </c>
      <c r="C29" s="7" t="s">
        <v>0</v>
      </c>
      <c r="D29" s="49" t="s">
        <v>1</v>
      </c>
      <c r="E29" s="49"/>
      <c r="F29" s="39"/>
    </row>
    <row r="30" spans="1:9" x14ac:dyDescent="0.25">
      <c r="A30" s="24" t="s">
        <v>27</v>
      </c>
      <c r="B30" s="24" t="s">
        <v>28</v>
      </c>
      <c r="C30" s="42">
        <v>1000</v>
      </c>
      <c r="D30" s="45" t="s">
        <v>29</v>
      </c>
      <c r="E30" s="45"/>
    </row>
    <row r="31" spans="1:9" x14ac:dyDescent="0.25">
      <c r="A31" s="24" t="s">
        <v>32</v>
      </c>
      <c r="B31" s="24" t="s">
        <v>30</v>
      </c>
      <c r="C31" s="25">
        <v>3</v>
      </c>
      <c r="D31" s="45" t="s">
        <v>31</v>
      </c>
      <c r="E31" s="45"/>
    </row>
    <row r="32" spans="1:9" x14ac:dyDescent="0.25">
      <c r="A32" s="24" t="s">
        <v>62</v>
      </c>
      <c r="B32" s="24" t="s">
        <v>65</v>
      </c>
      <c r="C32" s="41" t="s">
        <v>63</v>
      </c>
      <c r="D32" s="25" t="s">
        <v>64</v>
      </c>
      <c r="E32" s="25"/>
    </row>
    <row r="33" spans="1:17" x14ac:dyDescent="0.25">
      <c r="A33" s="4" t="s">
        <v>33</v>
      </c>
      <c r="B33" s="4"/>
      <c r="C33" s="5"/>
      <c r="D33" s="5"/>
      <c r="E33" s="5"/>
      <c r="F33" s="5"/>
      <c r="G33" s="5"/>
      <c r="H33" s="5"/>
      <c r="I33" s="5"/>
      <c r="K33" t="s">
        <v>54</v>
      </c>
    </row>
    <row r="34" spans="1:17" x14ac:dyDescent="0.25">
      <c r="A34" s="8"/>
      <c r="B34" s="15"/>
      <c r="C34" s="46" t="s">
        <v>12</v>
      </c>
      <c r="D34" s="47"/>
      <c r="E34" s="48"/>
      <c r="F34" s="46" t="s">
        <v>13</v>
      </c>
      <c r="G34" s="47"/>
      <c r="H34" s="48"/>
      <c r="I34" s="6"/>
    </row>
    <row r="35" spans="1:17" x14ac:dyDescent="0.25">
      <c r="A35" s="7" t="s">
        <v>4</v>
      </c>
      <c r="B35" s="7" t="s">
        <v>17</v>
      </c>
      <c r="C35" s="6" t="s">
        <v>5</v>
      </c>
      <c r="D35" s="6" t="s">
        <v>6</v>
      </c>
      <c r="E35" s="6" t="s">
        <v>7</v>
      </c>
      <c r="F35" s="6" t="s">
        <v>8</v>
      </c>
      <c r="G35" s="6" t="s">
        <v>9</v>
      </c>
      <c r="H35" s="6" t="s">
        <v>10</v>
      </c>
      <c r="I35" s="6" t="s">
        <v>3</v>
      </c>
      <c r="K35" t="str">
        <f>A35</f>
        <v>Vector Name</v>
      </c>
      <c r="L35" t="str">
        <f>C35</f>
        <v>X</v>
      </c>
      <c r="M35" t="str">
        <f t="shared" ref="M35:Q36" si="3">D35</f>
        <v>Y</v>
      </c>
      <c r="N35" t="str">
        <f t="shared" si="3"/>
        <v>Z</v>
      </c>
      <c r="O35" t="str">
        <f t="shared" si="3"/>
        <v>Tx</v>
      </c>
      <c r="P35" t="str">
        <f t="shared" si="3"/>
        <v>Ty</v>
      </c>
      <c r="Q35" t="str">
        <f>H35</f>
        <v>Tz</v>
      </c>
    </row>
    <row r="36" spans="1:17" x14ac:dyDescent="0.25">
      <c r="A36" s="29" t="s">
        <v>41</v>
      </c>
      <c r="B36" s="30" t="s">
        <v>19</v>
      </c>
      <c r="C36" s="31">
        <v>5.7124584133297615E-2</v>
      </c>
      <c r="D36" s="31">
        <v>5.6990852267418506E-2</v>
      </c>
      <c r="E36" s="31">
        <v>0.34377006121890769</v>
      </c>
      <c r="F36" s="31">
        <v>6.4128176986053095E-2</v>
      </c>
      <c r="G36" s="31">
        <v>6.2385929734018061E-2</v>
      </c>
      <c r="H36" s="31">
        <v>5.0160567631242805E-5</v>
      </c>
      <c r="I36" s="31"/>
      <c r="K36" t="str">
        <f>A36</f>
        <v>Re_CS0_CS3</v>
      </c>
      <c r="L36" s="38">
        <f t="shared" ref="L36" si="4">C36</f>
        <v>5.7124584133297615E-2</v>
      </c>
      <c r="M36" s="38">
        <f t="shared" si="3"/>
        <v>5.6990852267418506E-2</v>
      </c>
      <c r="N36" s="38">
        <f t="shared" si="3"/>
        <v>0.34377006121890769</v>
      </c>
      <c r="O36" s="38">
        <f t="shared" si="3"/>
        <v>6.4128176986053095E-2</v>
      </c>
      <c r="P36" s="38">
        <f t="shared" si="3"/>
        <v>6.2385929734018061E-2</v>
      </c>
      <c r="Q36" s="38">
        <f t="shared" si="3"/>
        <v>5.0160567631242805E-5</v>
      </c>
    </row>
    <row r="37" spans="1:17" x14ac:dyDescent="0.25">
      <c r="A37" s="4" t="s">
        <v>61</v>
      </c>
      <c r="B37" s="4"/>
      <c r="C37" s="5"/>
      <c r="D37" s="5"/>
      <c r="E37" s="5"/>
      <c r="F37" s="5"/>
      <c r="G37" s="5"/>
      <c r="H37" s="5"/>
      <c r="I37" s="5"/>
    </row>
    <row r="38" spans="1:17" x14ac:dyDescent="0.25">
      <c r="A38" s="1" t="s">
        <v>59</v>
      </c>
      <c r="B38" s="1">
        <v>1</v>
      </c>
    </row>
  </sheetData>
  <mergeCells count="9">
    <mergeCell ref="D30:E30"/>
    <mergeCell ref="D31:E31"/>
    <mergeCell ref="C34:E34"/>
    <mergeCell ref="F34:H34"/>
    <mergeCell ref="C6:E6"/>
    <mergeCell ref="F6:H6"/>
    <mergeCell ref="C22:E22"/>
    <mergeCell ref="F22:H22"/>
    <mergeCell ref="D29:E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1B1C-4549-40A2-8DE0-507CCF8D1A96}">
  <dimension ref="A1:AC69"/>
  <sheetViews>
    <sheetView zoomScale="85" zoomScaleNormal="85" workbookViewId="0">
      <selection activeCell="E41" sqref="E41:E42"/>
    </sheetView>
  </sheetViews>
  <sheetFormatPr defaultRowHeight="15" x14ac:dyDescent="0.25"/>
  <cols>
    <col min="1" max="1" width="31.5703125" style="1" customWidth="1"/>
    <col min="2" max="2" width="13.5703125" style="1" customWidth="1"/>
    <col min="3" max="8" width="8.7109375" bestFit="1" customWidth="1"/>
    <col min="9" max="9" width="31" customWidth="1"/>
    <col min="11" max="11" width="24.140625" customWidth="1"/>
    <col min="12" max="12" width="15.7109375" customWidth="1"/>
    <col min="19" max="19" width="15.7109375" bestFit="1" customWidth="1"/>
    <col min="21" max="21" width="24.42578125" customWidth="1"/>
    <col min="22" max="22" width="13.5703125" customWidth="1"/>
    <col min="29" max="29" width="15.7109375" bestFit="1" customWidth="1"/>
  </cols>
  <sheetData>
    <row r="1" spans="1:29" x14ac:dyDescent="0.25">
      <c r="A1" s="3"/>
      <c r="B1" s="3"/>
    </row>
    <row r="4" spans="1:29" x14ac:dyDescent="0.25">
      <c r="A4" s="4" t="s">
        <v>42</v>
      </c>
      <c r="B4" s="4"/>
      <c r="C4" s="5"/>
      <c r="D4" s="5"/>
      <c r="E4" s="5"/>
      <c r="F4" s="5"/>
      <c r="G4" s="5"/>
      <c r="H4" s="5"/>
      <c r="I4" s="5"/>
      <c r="K4" s="4" t="s">
        <v>42</v>
      </c>
      <c r="L4" s="4"/>
      <c r="M4" s="5"/>
      <c r="N4" s="5"/>
      <c r="O4" s="5"/>
      <c r="P4" s="5"/>
      <c r="Q4" s="5"/>
      <c r="R4" s="5"/>
      <c r="S4" s="5"/>
      <c r="U4" s="4" t="s">
        <v>42</v>
      </c>
      <c r="V4" s="4"/>
      <c r="W4" s="5"/>
      <c r="X4" s="5"/>
      <c r="Y4" s="5"/>
      <c r="Z4" s="5"/>
      <c r="AA4" s="5"/>
      <c r="AB4" s="5"/>
      <c r="AC4" s="5"/>
    </row>
    <row r="5" spans="1:29" x14ac:dyDescent="0.25">
      <c r="A5" s="40" t="s">
        <v>60</v>
      </c>
      <c r="B5" s="7" t="s">
        <v>67</v>
      </c>
      <c r="C5" s="46" t="s">
        <v>12</v>
      </c>
      <c r="D5" s="47"/>
      <c r="E5" s="48"/>
      <c r="F5" s="46" t="s">
        <v>13</v>
      </c>
      <c r="G5" s="47"/>
      <c r="H5" s="48"/>
      <c r="I5" s="6"/>
      <c r="K5" s="40" t="s">
        <v>60</v>
      </c>
      <c r="L5" s="7" t="s">
        <v>68</v>
      </c>
      <c r="M5" s="46" t="s">
        <v>12</v>
      </c>
      <c r="N5" s="47"/>
      <c r="O5" s="48"/>
      <c r="P5" s="46" t="s">
        <v>13</v>
      </c>
      <c r="Q5" s="47"/>
      <c r="R5" s="48"/>
      <c r="S5" s="6"/>
      <c r="U5" s="40" t="s">
        <v>60</v>
      </c>
      <c r="V5" s="7" t="s">
        <v>71</v>
      </c>
      <c r="W5" s="46" t="s">
        <v>12</v>
      </c>
      <c r="X5" s="47"/>
      <c r="Y5" s="48"/>
      <c r="Z5" s="46" t="s">
        <v>13</v>
      </c>
      <c r="AA5" s="47"/>
      <c r="AB5" s="48"/>
      <c r="AC5" s="6"/>
    </row>
    <row r="6" spans="1:29" ht="30" x14ac:dyDescent="0.25">
      <c r="A6" s="7" t="s">
        <v>4</v>
      </c>
      <c r="B6" s="7" t="s">
        <v>17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3</v>
      </c>
      <c r="K6" s="7" t="s">
        <v>4</v>
      </c>
      <c r="L6" s="7" t="s">
        <v>17</v>
      </c>
      <c r="M6" s="6" t="s">
        <v>5</v>
      </c>
      <c r="N6" s="6" t="s">
        <v>6</v>
      </c>
      <c r="O6" s="6" t="s">
        <v>7</v>
      </c>
      <c r="P6" s="6" t="s">
        <v>8</v>
      </c>
      <c r="Q6" s="6" t="s">
        <v>9</v>
      </c>
      <c r="R6" s="6" t="s">
        <v>10</v>
      </c>
      <c r="S6" s="6" t="s">
        <v>3</v>
      </c>
      <c r="U6" s="7" t="s">
        <v>4</v>
      </c>
      <c r="V6" s="7" t="s">
        <v>17</v>
      </c>
      <c r="W6" s="6" t="s">
        <v>5</v>
      </c>
      <c r="X6" s="6" t="s">
        <v>6</v>
      </c>
      <c r="Y6" s="6" t="s">
        <v>7</v>
      </c>
      <c r="Z6" s="6" t="s">
        <v>8</v>
      </c>
      <c r="AA6" s="6" t="s">
        <v>9</v>
      </c>
      <c r="AB6" s="6" t="s">
        <v>10</v>
      </c>
      <c r="AC6" s="6" t="s">
        <v>3</v>
      </c>
    </row>
    <row r="7" spans="1:29" x14ac:dyDescent="0.25">
      <c r="A7" s="16" t="s">
        <v>11</v>
      </c>
      <c r="B7" s="16" t="s">
        <v>18</v>
      </c>
      <c r="C7" s="17">
        <f>D7</f>
        <v>-17.5</v>
      </c>
      <c r="D7" s="17">
        <v>-17.5</v>
      </c>
      <c r="E7" s="17">
        <v>0</v>
      </c>
      <c r="F7" s="17">
        <v>0</v>
      </c>
      <c r="G7" s="17">
        <v>0</v>
      </c>
      <c r="H7" s="17">
        <v>0</v>
      </c>
      <c r="I7" s="18"/>
      <c r="K7" s="16" t="s">
        <v>11</v>
      </c>
      <c r="L7" s="16" t="s">
        <v>18</v>
      </c>
      <c r="M7" s="17">
        <f>N7</f>
        <v>-17.5</v>
      </c>
      <c r="N7" s="17">
        <v>-17.5</v>
      </c>
      <c r="O7" s="17">
        <v>0</v>
      </c>
      <c r="P7" s="17">
        <v>0</v>
      </c>
      <c r="Q7" s="17">
        <v>0</v>
      </c>
      <c r="R7" s="17">
        <v>0</v>
      </c>
      <c r="S7" s="18"/>
      <c r="U7" s="16" t="s">
        <v>11</v>
      </c>
      <c r="V7" s="16" t="s">
        <v>18</v>
      </c>
      <c r="W7" s="17">
        <f>X7</f>
        <v>-17.5</v>
      </c>
      <c r="X7" s="17">
        <v>-17.5</v>
      </c>
      <c r="Y7" s="17">
        <v>0</v>
      </c>
      <c r="Z7" s="17">
        <v>0</v>
      </c>
      <c r="AA7" s="17">
        <v>0</v>
      </c>
      <c r="AB7" s="17">
        <v>0</v>
      </c>
      <c r="AC7" s="18"/>
    </row>
    <row r="8" spans="1:29" x14ac:dyDescent="0.25">
      <c r="A8" s="16" t="s">
        <v>20</v>
      </c>
      <c r="B8" s="16" t="s">
        <v>18</v>
      </c>
      <c r="C8" s="17">
        <f t="shared" ref="C8:C12" si="0">D8</f>
        <v>0</v>
      </c>
      <c r="D8" s="17">
        <v>0</v>
      </c>
      <c r="E8" s="17">
        <v>-40</v>
      </c>
      <c r="F8" s="17">
        <v>0</v>
      </c>
      <c r="G8" s="17">
        <v>0</v>
      </c>
      <c r="H8" s="17">
        <v>0</v>
      </c>
      <c r="I8" s="32"/>
      <c r="K8" s="16" t="s">
        <v>20</v>
      </c>
      <c r="L8" s="16" t="s">
        <v>18</v>
      </c>
      <c r="M8" s="17">
        <f t="shared" ref="M8:M12" si="1">N8</f>
        <v>0</v>
      </c>
      <c r="N8" s="17">
        <v>0</v>
      </c>
      <c r="O8" s="17">
        <v>-40</v>
      </c>
      <c r="P8" s="17">
        <v>0</v>
      </c>
      <c r="Q8" s="17">
        <v>0</v>
      </c>
      <c r="R8" s="17">
        <v>0</v>
      </c>
      <c r="S8" s="32"/>
      <c r="U8" s="16" t="s">
        <v>20</v>
      </c>
      <c r="V8" s="16" t="s">
        <v>18</v>
      </c>
      <c r="W8" s="17">
        <f t="shared" ref="W8:W12" si="2">X8</f>
        <v>0</v>
      </c>
      <c r="X8" s="17">
        <v>0</v>
      </c>
      <c r="Y8" s="17">
        <v>-40</v>
      </c>
      <c r="Z8" s="17">
        <v>0</v>
      </c>
      <c r="AA8" s="17">
        <v>0</v>
      </c>
      <c r="AB8" s="17">
        <v>0</v>
      </c>
      <c r="AC8" s="32"/>
    </row>
    <row r="9" spans="1:29" x14ac:dyDescent="0.25">
      <c r="A9" s="16" t="s">
        <v>21</v>
      </c>
      <c r="B9" s="16" t="s">
        <v>18</v>
      </c>
      <c r="C9" s="17">
        <f t="shared" si="0"/>
        <v>13.5</v>
      </c>
      <c r="D9" s="17">
        <f>(35-8)/2</f>
        <v>13.5</v>
      </c>
      <c r="E9" s="17">
        <v>0</v>
      </c>
      <c r="F9" s="17">
        <v>0</v>
      </c>
      <c r="G9" s="17">
        <v>0</v>
      </c>
      <c r="H9" s="17">
        <v>0</v>
      </c>
      <c r="I9" s="32"/>
      <c r="K9" s="16" t="s">
        <v>21</v>
      </c>
      <c r="L9" s="16" t="s">
        <v>18</v>
      </c>
      <c r="M9" s="17">
        <f t="shared" si="1"/>
        <v>13.5</v>
      </c>
      <c r="N9" s="17">
        <f>(35-8)/2</f>
        <v>13.5</v>
      </c>
      <c r="O9" s="17">
        <v>0</v>
      </c>
      <c r="P9" s="17">
        <v>0</v>
      </c>
      <c r="Q9" s="17">
        <v>0</v>
      </c>
      <c r="R9" s="17">
        <v>0</v>
      </c>
      <c r="S9" s="32"/>
      <c r="U9" s="16" t="s">
        <v>21</v>
      </c>
      <c r="V9" s="16" t="s">
        <v>18</v>
      </c>
      <c r="W9" s="17">
        <f t="shared" si="2"/>
        <v>13.5</v>
      </c>
      <c r="X9" s="17">
        <f>(35-8)/2</f>
        <v>13.5</v>
      </c>
      <c r="Y9" s="17">
        <v>0</v>
      </c>
      <c r="Z9" s="17">
        <v>0</v>
      </c>
      <c r="AA9" s="17">
        <v>0</v>
      </c>
      <c r="AB9" s="17">
        <v>0</v>
      </c>
      <c r="AC9" s="32"/>
    </row>
    <row r="10" spans="1:29" x14ac:dyDescent="0.25">
      <c r="A10" s="16" t="s">
        <v>46</v>
      </c>
      <c r="B10" s="16" t="s">
        <v>18</v>
      </c>
      <c r="C10" s="17">
        <f t="shared" si="0"/>
        <v>0.5</v>
      </c>
      <c r="D10" s="17">
        <v>0.5</v>
      </c>
      <c r="E10" s="17">
        <v>0</v>
      </c>
      <c r="F10" s="17">
        <v>0</v>
      </c>
      <c r="G10" s="17">
        <v>0</v>
      </c>
      <c r="H10" s="17">
        <v>0</v>
      </c>
      <c r="I10" s="32"/>
      <c r="K10" s="16" t="s">
        <v>46</v>
      </c>
      <c r="L10" s="16" t="s">
        <v>18</v>
      </c>
      <c r="M10" s="17">
        <f t="shared" si="1"/>
        <v>0.5</v>
      </c>
      <c r="N10" s="17">
        <v>0.5</v>
      </c>
      <c r="O10" s="17">
        <v>0</v>
      </c>
      <c r="P10" s="17">
        <v>0</v>
      </c>
      <c r="Q10" s="17">
        <v>0</v>
      </c>
      <c r="R10" s="17">
        <v>0</v>
      </c>
      <c r="S10" s="32"/>
      <c r="U10" s="16" t="s">
        <v>46</v>
      </c>
      <c r="V10" s="16" t="s">
        <v>18</v>
      </c>
      <c r="W10" s="17">
        <f t="shared" si="2"/>
        <v>0.5</v>
      </c>
      <c r="X10" s="17">
        <v>0.5</v>
      </c>
      <c r="Y10" s="17">
        <v>0</v>
      </c>
      <c r="Z10" s="17">
        <v>0</v>
      </c>
      <c r="AA10" s="17">
        <v>0</v>
      </c>
      <c r="AB10" s="17">
        <v>0</v>
      </c>
      <c r="AC10" s="32"/>
    </row>
    <row r="11" spans="1:29" x14ac:dyDescent="0.25">
      <c r="A11" s="16" t="s">
        <v>47</v>
      </c>
      <c r="B11" s="16" t="s">
        <v>18</v>
      </c>
      <c r="C11" s="17">
        <f t="shared" si="0"/>
        <v>3.5</v>
      </c>
      <c r="D11" s="17">
        <v>3.5</v>
      </c>
      <c r="E11" s="17">
        <v>0</v>
      </c>
      <c r="F11" s="17">
        <v>0</v>
      </c>
      <c r="G11" s="17">
        <v>0</v>
      </c>
      <c r="H11" s="17">
        <v>0</v>
      </c>
      <c r="I11" s="19"/>
      <c r="K11" s="16" t="s">
        <v>47</v>
      </c>
      <c r="L11" s="16" t="s">
        <v>18</v>
      </c>
      <c r="M11" s="17">
        <f t="shared" si="1"/>
        <v>3.5</v>
      </c>
      <c r="N11" s="17">
        <v>3.5</v>
      </c>
      <c r="O11" s="17">
        <v>0</v>
      </c>
      <c r="P11" s="17">
        <v>0</v>
      </c>
      <c r="Q11" s="17">
        <v>0</v>
      </c>
      <c r="R11" s="17">
        <v>0</v>
      </c>
      <c r="S11" s="19"/>
      <c r="U11" s="16" t="s">
        <v>47</v>
      </c>
      <c r="V11" s="16" t="s">
        <v>18</v>
      </c>
      <c r="W11" s="17">
        <f t="shared" si="2"/>
        <v>3.5</v>
      </c>
      <c r="X11" s="17">
        <v>3.5</v>
      </c>
      <c r="Y11" s="17">
        <v>0</v>
      </c>
      <c r="Z11" s="17">
        <v>0</v>
      </c>
      <c r="AA11" s="17">
        <v>0</v>
      </c>
      <c r="AB11" s="17">
        <v>0</v>
      </c>
      <c r="AC11" s="19"/>
    </row>
    <row r="12" spans="1:29" x14ac:dyDescent="0.25">
      <c r="A12" s="16" t="s">
        <v>50</v>
      </c>
      <c r="B12" s="16" t="s">
        <v>18</v>
      </c>
      <c r="C12" s="17">
        <f t="shared" si="0"/>
        <v>0</v>
      </c>
      <c r="D12" s="17">
        <v>0</v>
      </c>
      <c r="E12" s="17">
        <v>2</v>
      </c>
      <c r="F12" s="17">
        <v>0</v>
      </c>
      <c r="G12" s="17">
        <v>0</v>
      </c>
      <c r="H12" s="17">
        <v>0</v>
      </c>
      <c r="I12" s="19"/>
      <c r="K12" s="16" t="s">
        <v>50</v>
      </c>
      <c r="L12" s="16" t="s">
        <v>18</v>
      </c>
      <c r="M12" s="17">
        <f t="shared" si="1"/>
        <v>0</v>
      </c>
      <c r="N12" s="17">
        <v>0</v>
      </c>
      <c r="O12" s="17">
        <v>2</v>
      </c>
      <c r="P12" s="17">
        <v>0</v>
      </c>
      <c r="Q12" s="17">
        <v>0</v>
      </c>
      <c r="R12" s="17">
        <v>0</v>
      </c>
      <c r="S12" s="19"/>
      <c r="U12" s="16" t="s">
        <v>50</v>
      </c>
      <c r="V12" s="16" t="s">
        <v>18</v>
      </c>
      <c r="W12" s="17">
        <f t="shared" si="2"/>
        <v>0</v>
      </c>
      <c r="X12" s="17">
        <v>0</v>
      </c>
      <c r="Y12" s="17">
        <v>2</v>
      </c>
      <c r="Z12" s="17">
        <v>0</v>
      </c>
      <c r="AA12" s="17">
        <v>0</v>
      </c>
      <c r="AB12" s="17">
        <v>0</v>
      </c>
      <c r="AC12" s="19"/>
    </row>
    <row r="13" spans="1:29" x14ac:dyDescent="0.25">
      <c r="A13" s="4" t="s">
        <v>16</v>
      </c>
      <c r="B13" s="4"/>
      <c r="C13" s="5"/>
      <c r="D13" s="5"/>
      <c r="E13" s="5"/>
      <c r="F13" s="5"/>
      <c r="G13" s="5"/>
      <c r="H13" s="5"/>
      <c r="I13" s="10"/>
      <c r="K13" s="4" t="s">
        <v>16</v>
      </c>
      <c r="L13" s="4"/>
      <c r="M13" s="5"/>
      <c r="N13" s="5"/>
      <c r="O13" s="5"/>
      <c r="P13" s="5"/>
      <c r="Q13" s="5"/>
      <c r="R13" s="5"/>
      <c r="S13" s="10"/>
      <c r="U13" s="4" t="s">
        <v>16</v>
      </c>
      <c r="V13" s="4"/>
      <c r="W13" s="5"/>
      <c r="X13" s="5"/>
      <c r="Y13" s="5"/>
      <c r="Z13" s="5"/>
      <c r="AA13" s="5"/>
      <c r="AB13" s="5"/>
      <c r="AC13" s="10"/>
    </row>
    <row r="14" spans="1:29" ht="13.5" customHeight="1" x14ac:dyDescent="0.25">
      <c r="A14" s="20" t="s">
        <v>23</v>
      </c>
      <c r="B14" s="20" t="s">
        <v>22</v>
      </c>
      <c r="C14" s="21">
        <v>0.05</v>
      </c>
      <c r="D14" s="21">
        <v>0.05</v>
      </c>
      <c r="E14" s="21">
        <v>0</v>
      </c>
      <c r="F14" s="21">
        <f>G14</f>
        <v>2.5000000000000001E-3</v>
      </c>
      <c r="G14" s="21">
        <f>0.1/40</f>
        <v>2.5000000000000001E-3</v>
      </c>
      <c r="H14" s="21">
        <v>0</v>
      </c>
      <c r="I14" s="22"/>
      <c r="K14" s="20" t="s">
        <v>23</v>
      </c>
      <c r="L14" s="20" t="s">
        <v>22</v>
      </c>
      <c r="M14" s="21">
        <v>0.05</v>
      </c>
      <c r="N14" s="21">
        <v>0.05</v>
      </c>
      <c r="O14" s="21">
        <v>0</v>
      </c>
      <c r="P14" s="21">
        <f>Q14</f>
        <v>2.5000000000000001E-3</v>
      </c>
      <c r="Q14" s="21">
        <f>0.1/40</f>
        <v>2.5000000000000001E-3</v>
      </c>
      <c r="R14" s="21">
        <v>0</v>
      </c>
      <c r="S14" s="22"/>
      <c r="U14" s="20" t="s">
        <v>23</v>
      </c>
      <c r="V14" s="20" t="s">
        <v>22</v>
      </c>
      <c r="W14" s="21">
        <v>0.05</v>
      </c>
      <c r="X14" s="21">
        <v>0.05</v>
      </c>
      <c r="Y14" s="21">
        <v>0</v>
      </c>
      <c r="Z14" s="21">
        <f>AA14</f>
        <v>2.5000000000000001E-3</v>
      </c>
      <c r="AA14" s="21">
        <f>0.1/40</f>
        <v>2.5000000000000001E-3</v>
      </c>
      <c r="AB14" s="21">
        <v>0</v>
      </c>
      <c r="AC14" s="22"/>
    </row>
    <row r="15" spans="1:29" x14ac:dyDescent="0.25">
      <c r="A15" s="20" t="s">
        <v>24</v>
      </c>
      <c r="B15" s="20" t="s">
        <v>22</v>
      </c>
      <c r="C15" s="21">
        <f t="shared" ref="C15:C19" si="3">D15</f>
        <v>0</v>
      </c>
      <c r="D15" s="21">
        <v>0</v>
      </c>
      <c r="E15" s="21">
        <v>0.1</v>
      </c>
      <c r="F15" s="21">
        <f t="shared" ref="F15:F19" si="4">G15</f>
        <v>0</v>
      </c>
      <c r="G15" s="21">
        <v>0</v>
      </c>
      <c r="H15" s="21">
        <v>0</v>
      </c>
      <c r="I15" s="37"/>
      <c r="K15" s="20" t="s">
        <v>24</v>
      </c>
      <c r="L15" s="20" t="s">
        <v>22</v>
      </c>
      <c r="M15" s="21">
        <f t="shared" ref="M15:M19" si="5">N15</f>
        <v>0</v>
      </c>
      <c r="N15" s="21">
        <v>0</v>
      </c>
      <c r="O15" s="21">
        <v>0.1</v>
      </c>
      <c r="P15" s="21">
        <f t="shared" ref="P15:P19" si="6">Q15</f>
        <v>0</v>
      </c>
      <c r="Q15" s="21">
        <v>0</v>
      </c>
      <c r="R15" s="21">
        <v>0</v>
      </c>
      <c r="S15" s="37"/>
      <c r="U15" s="20" t="s">
        <v>24</v>
      </c>
      <c r="V15" s="20" t="s">
        <v>22</v>
      </c>
      <c r="W15" s="21">
        <f t="shared" ref="W15:W19" si="7">X15</f>
        <v>0</v>
      </c>
      <c r="X15" s="21">
        <v>0</v>
      </c>
      <c r="Y15" s="21">
        <v>0.1</v>
      </c>
      <c r="Z15" s="21">
        <f t="shared" ref="Z15:Z19" si="8">AA15</f>
        <v>0</v>
      </c>
      <c r="AA15" s="21">
        <v>0</v>
      </c>
      <c r="AB15" s="21">
        <v>0</v>
      </c>
      <c r="AC15" s="37"/>
    </row>
    <row r="16" spans="1:29" x14ac:dyDescent="0.25">
      <c r="A16" s="20" t="s">
        <v>25</v>
      </c>
      <c r="B16" s="20" t="s">
        <v>22</v>
      </c>
      <c r="C16" s="21">
        <f t="shared" si="3"/>
        <v>0.05</v>
      </c>
      <c r="D16" s="21">
        <v>0.05</v>
      </c>
      <c r="E16" s="21">
        <v>0</v>
      </c>
      <c r="F16" s="21">
        <f t="shared" si="4"/>
        <v>0</v>
      </c>
      <c r="G16" s="21">
        <v>0</v>
      </c>
      <c r="H16" s="21">
        <v>0</v>
      </c>
      <c r="I16" s="37"/>
      <c r="K16" s="20" t="s">
        <v>25</v>
      </c>
      <c r="L16" s="20" t="s">
        <v>22</v>
      </c>
      <c r="M16" s="21">
        <f t="shared" si="5"/>
        <v>0.05</v>
      </c>
      <c r="N16" s="21">
        <v>0.05</v>
      </c>
      <c r="O16" s="21">
        <v>0</v>
      </c>
      <c r="P16" s="21">
        <f t="shared" si="6"/>
        <v>0</v>
      </c>
      <c r="Q16" s="21">
        <v>0</v>
      </c>
      <c r="R16" s="21">
        <v>0</v>
      </c>
      <c r="S16" s="37"/>
      <c r="U16" s="20" t="s">
        <v>25</v>
      </c>
      <c r="V16" s="20" t="s">
        <v>22</v>
      </c>
      <c r="W16" s="21">
        <f t="shared" si="7"/>
        <v>0.05</v>
      </c>
      <c r="X16" s="21">
        <v>0.05</v>
      </c>
      <c r="Y16" s="21">
        <v>0</v>
      </c>
      <c r="Z16" s="21">
        <f t="shared" si="8"/>
        <v>0</v>
      </c>
      <c r="AA16" s="21">
        <v>0</v>
      </c>
      <c r="AB16" s="21">
        <v>0</v>
      </c>
      <c r="AC16" s="37"/>
    </row>
    <row r="17" spans="1:29" x14ac:dyDescent="0.25">
      <c r="A17" s="20" t="s">
        <v>49</v>
      </c>
      <c r="B17" s="20" t="s">
        <v>22</v>
      </c>
      <c r="C17" s="21">
        <f t="shared" si="3"/>
        <v>0.5</v>
      </c>
      <c r="D17" s="21">
        <v>0.5</v>
      </c>
      <c r="E17" s="21">
        <v>0</v>
      </c>
      <c r="F17" s="21">
        <f t="shared" si="4"/>
        <v>0</v>
      </c>
      <c r="G17" s="21">
        <v>0</v>
      </c>
      <c r="H17" s="21">
        <v>0</v>
      </c>
      <c r="I17" s="37"/>
      <c r="K17" s="20" t="s">
        <v>49</v>
      </c>
      <c r="L17" s="20" t="s">
        <v>22</v>
      </c>
      <c r="M17" s="21">
        <f t="shared" si="5"/>
        <v>0.5</v>
      </c>
      <c r="N17" s="21">
        <v>0.5</v>
      </c>
      <c r="O17" s="21">
        <v>0</v>
      </c>
      <c r="P17" s="21">
        <f t="shared" si="6"/>
        <v>0</v>
      </c>
      <c r="Q17" s="21">
        <v>0</v>
      </c>
      <c r="R17" s="21">
        <v>0</v>
      </c>
      <c r="S17" s="37"/>
      <c r="U17" s="20" t="s">
        <v>49</v>
      </c>
      <c r="V17" s="20" t="s">
        <v>22</v>
      </c>
      <c r="W17" s="21">
        <f t="shared" si="7"/>
        <v>0.5</v>
      </c>
      <c r="X17" s="21">
        <v>0.5</v>
      </c>
      <c r="Y17" s="21">
        <v>0</v>
      </c>
      <c r="Z17" s="21">
        <f t="shared" si="8"/>
        <v>0</v>
      </c>
      <c r="AA17" s="21">
        <v>0</v>
      </c>
      <c r="AB17" s="21">
        <v>0</v>
      </c>
      <c r="AC17" s="37"/>
    </row>
    <row r="18" spans="1:29" x14ac:dyDescent="0.25">
      <c r="A18" s="20" t="s">
        <v>48</v>
      </c>
      <c r="B18" s="20" t="s">
        <v>22</v>
      </c>
      <c r="C18" s="21">
        <f t="shared" si="3"/>
        <v>0.05</v>
      </c>
      <c r="D18" s="21">
        <v>0.05</v>
      </c>
      <c r="E18" s="21">
        <v>0</v>
      </c>
      <c r="F18" s="21">
        <f t="shared" si="4"/>
        <v>6.25E-2</v>
      </c>
      <c r="G18" s="21">
        <f>0.5/8</f>
        <v>6.25E-2</v>
      </c>
      <c r="H18" s="21">
        <v>0</v>
      </c>
      <c r="I18" s="23"/>
      <c r="K18" s="20" t="s">
        <v>48</v>
      </c>
      <c r="L18" s="20" t="s">
        <v>22</v>
      </c>
      <c r="M18" s="21">
        <f t="shared" si="5"/>
        <v>0.05</v>
      </c>
      <c r="N18" s="21">
        <v>0.05</v>
      </c>
      <c r="O18" s="21">
        <v>0</v>
      </c>
      <c r="P18" s="21">
        <f t="shared" si="6"/>
        <v>6.25E-2</v>
      </c>
      <c r="Q18" s="21">
        <f>0.5/8</f>
        <v>6.25E-2</v>
      </c>
      <c r="R18" s="21">
        <v>0</v>
      </c>
      <c r="S18" s="23"/>
      <c r="U18" s="20" t="s">
        <v>48</v>
      </c>
      <c r="V18" s="20" t="s">
        <v>22</v>
      </c>
      <c r="W18" s="21">
        <f t="shared" si="7"/>
        <v>0.05</v>
      </c>
      <c r="X18" s="21">
        <v>0.05</v>
      </c>
      <c r="Y18" s="21">
        <v>0</v>
      </c>
      <c r="Z18" s="21">
        <f t="shared" si="8"/>
        <v>6.25E-2</v>
      </c>
      <c r="AA18" s="21">
        <f>0.5/8</f>
        <v>6.25E-2</v>
      </c>
      <c r="AB18" s="21">
        <v>0</v>
      </c>
      <c r="AC18" s="23"/>
    </row>
    <row r="19" spans="1:29" x14ac:dyDescent="0.25">
      <c r="A19" s="20" t="s">
        <v>51</v>
      </c>
      <c r="B19" s="20" t="s">
        <v>22</v>
      </c>
      <c r="C19" s="21">
        <f t="shared" si="3"/>
        <v>0</v>
      </c>
      <c r="D19" s="21">
        <v>0</v>
      </c>
      <c r="E19" s="21">
        <v>0.05</v>
      </c>
      <c r="F19" s="21">
        <f t="shared" si="4"/>
        <v>0</v>
      </c>
      <c r="G19" s="21">
        <v>0</v>
      </c>
      <c r="H19" s="21">
        <v>0</v>
      </c>
      <c r="I19" s="23"/>
      <c r="K19" s="20" t="s">
        <v>51</v>
      </c>
      <c r="L19" s="20" t="s">
        <v>22</v>
      </c>
      <c r="M19" s="21">
        <f t="shared" si="5"/>
        <v>0</v>
      </c>
      <c r="N19" s="21">
        <v>0</v>
      </c>
      <c r="O19" s="21">
        <v>0.05</v>
      </c>
      <c r="P19" s="21">
        <f t="shared" si="6"/>
        <v>0</v>
      </c>
      <c r="Q19" s="21">
        <v>0</v>
      </c>
      <c r="R19" s="21">
        <v>0</v>
      </c>
      <c r="S19" s="23"/>
      <c r="U19" s="20" t="s">
        <v>51</v>
      </c>
      <c r="V19" s="20" t="s">
        <v>22</v>
      </c>
      <c r="W19" s="21">
        <f t="shared" si="7"/>
        <v>0</v>
      </c>
      <c r="X19" s="21">
        <v>0</v>
      </c>
      <c r="Y19" s="21">
        <v>0.05</v>
      </c>
      <c r="Z19" s="21">
        <f t="shared" si="8"/>
        <v>0</v>
      </c>
      <c r="AA19" s="21">
        <v>0</v>
      </c>
      <c r="AB19" s="21">
        <v>0</v>
      </c>
      <c r="AC19" s="23"/>
    </row>
    <row r="20" spans="1:29" x14ac:dyDescent="0.25">
      <c r="A20" s="4" t="s">
        <v>36</v>
      </c>
      <c r="B20" s="4"/>
      <c r="C20" s="5"/>
      <c r="D20" s="5"/>
      <c r="E20" s="5"/>
      <c r="F20" s="5"/>
      <c r="G20" s="5"/>
      <c r="H20" s="5"/>
      <c r="I20" s="5"/>
      <c r="K20" s="4" t="s">
        <v>36</v>
      </c>
      <c r="L20" s="4"/>
      <c r="M20" s="5"/>
      <c r="N20" s="5"/>
      <c r="O20" s="5"/>
      <c r="P20" s="5"/>
      <c r="Q20" s="5"/>
      <c r="R20" s="5"/>
      <c r="S20" s="5"/>
      <c r="U20" s="4" t="s">
        <v>36</v>
      </c>
      <c r="V20" s="4"/>
      <c r="W20" s="5"/>
      <c r="X20" s="5"/>
      <c r="Y20" s="5"/>
      <c r="Z20" s="5"/>
      <c r="AA20" s="5"/>
      <c r="AB20" s="5"/>
      <c r="AC20" s="5"/>
    </row>
    <row r="21" spans="1:29" x14ac:dyDescent="0.25">
      <c r="A21" s="7"/>
      <c r="B21" s="7"/>
      <c r="C21" s="46" t="s">
        <v>12</v>
      </c>
      <c r="D21" s="47"/>
      <c r="E21" s="48"/>
      <c r="F21" s="46" t="s">
        <v>13</v>
      </c>
      <c r="G21" s="47"/>
      <c r="H21" s="48"/>
      <c r="I21" s="6"/>
      <c r="K21" s="7"/>
      <c r="L21" s="7"/>
      <c r="M21" s="46" t="s">
        <v>12</v>
      </c>
      <c r="N21" s="47"/>
      <c r="O21" s="48"/>
      <c r="P21" s="46" t="s">
        <v>13</v>
      </c>
      <c r="Q21" s="47"/>
      <c r="R21" s="48"/>
      <c r="S21" s="6"/>
      <c r="U21" s="7"/>
      <c r="V21" s="7"/>
      <c r="W21" s="46" t="s">
        <v>12</v>
      </c>
      <c r="X21" s="47"/>
      <c r="Y21" s="48"/>
      <c r="Z21" s="46" t="s">
        <v>13</v>
      </c>
      <c r="AA21" s="47"/>
      <c r="AB21" s="48"/>
      <c r="AC21" s="6"/>
    </row>
    <row r="22" spans="1:29" ht="30" x14ac:dyDescent="0.25">
      <c r="A22" s="7" t="s">
        <v>4</v>
      </c>
      <c r="B22" s="7" t="s">
        <v>17</v>
      </c>
      <c r="C22" s="6" t="s">
        <v>5</v>
      </c>
      <c r="D22" s="6" t="s">
        <v>6</v>
      </c>
      <c r="E22" s="6" t="s">
        <v>7</v>
      </c>
      <c r="F22" s="6" t="s">
        <v>8</v>
      </c>
      <c r="G22" s="6" t="s">
        <v>9</v>
      </c>
      <c r="H22" s="6" t="s">
        <v>10</v>
      </c>
      <c r="I22" s="6" t="s">
        <v>3</v>
      </c>
      <c r="K22" s="7" t="s">
        <v>4</v>
      </c>
      <c r="L22" s="7" t="s">
        <v>17</v>
      </c>
      <c r="M22" s="6" t="s">
        <v>5</v>
      </c>
      <c r="N22" s="6" t="s">
        <v>6</v>
      </c>
      <c r="O22" s="6" t="s">
        <v>7</v>
      </c>
      <c r="P22" s="6" t="s">
        <v>8</v>
      </c>
      <c r="Q22" s="6" t="s">
        <v>9</v>
      </c>
      <c r="R22" s="6" t="s">
        <v>10</v>
      </c>
      <c r="S22" s="6" t="s">
        <v>3</v>
      </c>
      <c r="U22" s="7" t="s">
        <v>4</v>
      </c>
      <c r="V22" s="7" t="s">
        <v>17</v>
      </c>
      <c r="W22" s="6" t="s">
        <v>5</v>
      </c>
      <c r="X22" s="6" t="s">
        <v>6</v>
      </c>
      <c r="Y22" s="6" t="s">
        <v>7</v>
      </c>
      <c r="Z22" s="6" t="s">
        <v>8</v>
      </c>
      <c r="AA22" s="6" t="s">
        <v>9</v>
      </c>
      <c r="AB22" s="6" t="s">
        <v>10</v>
      </c>
      <c r="AC22" s="6" t="s">
        <v>3</v>
      </c>
    </row>
    <row r="23" spans="1:29" x14ac:dyDescent="0.25">
      <c r="A23" s="26" t="s">
        <v>55</v>
      </c>
      <c r="B23" s="26" t="s">
        <v>15</v>
      </c>
      <c r="C23" s="27">
        <v>0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8" t="s">
        <v>36</v>
      </c>
      <c r="K23" s="26" t="s">
        <v>55</v>
      </c>
      <c r="L23" s="26" t="s">
        <v>15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8" t="s">
        <v>36</v>
      </c>
      <c r="U23" s="26" t="s">
        <v>55</v>
      </c>
      <c r="V23" s="26" t="s">
        <v>15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8" t="s">
        <v>36</v>
      </c>
    </row>
    <row r="24" spans="1:29" x14ac:dyDescent="0.25">
      <c r="A24" s="12" t="s">
        <v>56</v>
      </c>
      <c r="B24" s="12" t="s">
        <v>35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4" t="s">
        <v>37</v>
      </c>
      <c r="K24" s="12" t="s">
        <v>56</v>
      </c>
      <c r="L24" s="12" t="s">
        <v>35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4" t="s">
        <v>37</v>
      </c>
      <c r="U24" s="12" t="s">
        <v>56</v>
      </c>
      <c r="V24" s="12" t="s">
        <v>35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4" t="s">
        <v>37</v>
      </c>
    </row>
    <row r="25" spans="1:29" x14ac:dyDescent="0.25">
      <c r="A25" s="4" t="s">
        <v>26</v>
      </c>
      <c r="B25" s="4"/>
      <c r="C25" s="5"/>
      <c r="D25" s="5"/>
      <c r="E25" s="5"/>
      <c r="F25" s="5"/>
      <c r="G25" s="5"/>
      <c r="H25" s="5"/>
      <c r="I25" s="5"/>
      <c r="K25" s="4" t="s">
        <v>26</v>
      </c>
      <c r="L25" s="4"/>
      <c r="M25" s="5"/>
      <c r="N25" s="5"/>
      <c r="O25" s="5"/>
      <c r="P25" s="5"/>
      <c r="Q25" s="5"/>
      <c r="R25" s="5"/>
      <c r="S25" s="5"/>
      <c r="U25" s="4" t="s">
        <v>26</v>
      </c>
      <c r="V25" s="4"/>
      <c r="W25" s="5"/>
      <c r="X25" s="5"/>
      <c r="Y25" s="5"/>
      <c r="Z25" s="5"/>
      <c r="AA25" s="5"/>
      <c r="AB25" s="5"/>
      <c r="AC25" s="5"/>
    </row>
    <row r="26" spans="1:29" x14ac:dyDescent="0.25">
      <c r="A26" s="7" t="s">
        <v>4</v>
      </c>
      <c r="B26" s="7" t="s">
        <v>17</v>
      </c>
      <c r="C26" s="7" t="s">
        <v>0</v>
      </c>
      <c r="D26" s="49" t="s">
        <v>1</v>
      </c>
      <c r="E26" s="49"/>
      <c r="F26" s="39"/>
      <c r="K26" s="7" t="s">
        <v>4</v>
      </c>
      <c r="L26" s="7" t="s">
        <v>17</v>
      </c>
      <c r="M26" s="7" t="s">
        <v>0</v>
      </c>
      <c r="N26" s="49" t="s">
        <v>1</v>
      </c>
      <c r="O26" s="49"/>
      <c r="P26" s="39"/>
      <c r="U26" s="7" t="s">
        <v>4</v>
      </c>
      <c r="V26" s="7" t="s">
        <v>17</v>
      </c>
      <c r="W26" s="7" t="s">
        <v>0</v>
      </c>
      <c r="X26" s="49" t="s">
        <v>1</v>
      </c>
      <c r="Y26" s="49"/>
      <c r="Z26" s="39"/>
    </row>
    <row r="27" spans="1:29" x14ac:dyDescent="0.25">
      <c r="A27" s="24" t="s">
        <v>27</v>
      </c>
      <c r="B27" s="24" t="s">
        <v>28</v>
      </c>
      <c r="C27" s="42">
        <v>1000</v>
      </c>
      <c r="D27" s="45" t="s">
        <v>29</v>
      </c>
      <c r="E27" s="45"/>
      <c r="K27" s="24" t="s">
        <v>27</v>
      </c>
      <c r="L27" s="24" t="s">
        <v>28</v>
      </c>
      <c r="M27" s="42">
        <v>1000</v>
      </c>
      <c r="N27" s="45" t="s">
        <v>29</v>
      </c>
      <c r="O27" s="45"/>
      <c r="U27" s="24" t="s">
        <v>27</v>
      </c>
      <c r="V27" s="24" t="s">
        <v>28</v>
      </c>
      <c r="W27" s="42">
        <v>1000</v>
      </c>
      <c r="X27" s="45" t="s">
        <v>29</v>
      </c>
      <c r="Y27" s="45"/>
    </row>
    <row r="28" spans="1:29" x14ac:dyDescent="0.25">
      <c r="A28" s="24" t="s">
        <v>32</v>
      </c>
      <c r="B28" s="24" t="s">
        <v>30</v>
      </c>
      <c r="C28" s="25">
        <v>3</v>
      </c>
      <c r="D28" s="45" t="s">
        <v>31</v>
      </c>
      <c r="E28" s="45"/>
      <c r="K28" s="24" t="s">
        <v>32</v>
      </c>
      <c r="L28" s="24" t="s">
        <v>30</v>
      </c>
      <c r="M28" s="25">
        <v>3</v>
      </c>
      <c r="N28" s="45" t="s">
        <v>31</v>
      </c>
      <c r="O28" s="45"/>
      <c r="U28" s="24" t="s">
        <v>32</v>
      </c>
      <c r="V28" s="24" t="s">
        <v>30</v>
      </c>
      <c r="W28" s="25">
        <v>3</v>
      </c>
      <c r="X28" s="45" t="s">
        <v>31</v>
      </c>
      <c r="Y28" s="45"/>
    </row>
    <row r="29" spans="1:29" x14ac:dyDescent="0.25">
      <c r="A29" s="24" t="s">
        <v>62</v>
      </c>
      <c r="B29" s="24" t="s">
        <v>65</v>
      </c>
      <c r="C29" s="41" t="s">
        <v>63</v>
      </c>
      <c r="D29" s="25" t="s">
        <v>64</v>
      </c>
      <c r="E29" s="25"/>
      <c r="K29" s="24" t="s">
        <v>62</v>
      </c>
      <c r="L29" s="24" t="s">
        <v>65</v>
      </c>
      <c r="M29" s="41" t="s">
        <v>63</v>
      </c>
      <c r="N29" s="25" t="s">
        <v>64</v>
      </c>
      <c r="O29" s="25"/>
      <c r="U29" s="24" t="s">
        <v>62</v>
      </c>
      <c r="V29" s="24" t="s">
        <v>65</v>
      </c>
      <c r="W29" s="41" t="s">
        <v>63</v>
      </c>
      <c r="X29" s="25" t="s">
        <v>64</v>
      </c>
      <c r="Y29" s="25"/>
    </row>
    <row r="30" spans="1:29" x14ac:dyDescent="0.25">
      <c r="A30" s="4" t="s">
        <v>33</v>
      </c>
      <c r="B30" s="4"/>
      <c r="C30" s="5"/>
      <c r="D30" s="5"/>
      <c r="E30" s="5"/>
      <c r="F30" s="5"/>
      <c r="G30" s="5"/>
      <c r="H30" s="5"/>
      <c r="I30" s="5"/>
      <c r="K30" s="4" t="s">
        <v>33</v>
      </c>
      <c r="L30" s="4"/>
      <c r="M30" s="5"/>
      <c r="N30" s="5"/>
      <c r="O30" s="5"/>
      <c r="P30" s="5"/>
      <c r="Q30" s="5"/>
      <c r="R30" s="5"/>
      <c r="S30" s="5"/>
      <c r="U30" s="4" t="s">
        <v>33</v>
      </c>
      <c r="V30" s="4"/>
      <c r="W30" s="5"/>
      <c r="X30" s="5"/>
      <c r="Y30" s="5"/>
      <c r="Z30" s="5"/>
      <c r="AA30" s="5"/>
      <c r="AB30" s="5"/>
      <c r="AC30" s="5"/>
    </row>
    <row r="31" spans="1:29" x14ac:dyDescent="0.25">
      <c r="A31" s="8"/>
      <c r="B31" s="15"/>
      <c r="C31" s="46" t="s">
        <v>12</v>
      </c>
      <c r="D31" s="47"/>
      <c r="E31" s="48"/>
      <c r="F31" s="46" t="s">
        <v>13</v>
      </c>
      <c r="G31" s="47"/>
      <c r="H31" s="48"/>
      <c r="I31" s="6"/>
      <c r="K31" s="8"/>
      <c r="L31" s="15"/>
      <c r="M31" s="46" t="s">
        <v>12</v>
      </c>
      <c r="N31" s="47"/>
      <c r="O31" s="48"/>
      <c r="P31" s="46" t="s">
        <v>13</v>
      </c>
      <c r="Q31" s="47"/>
      <c r="R31" s="48"/>
      <c r="S31" s="6"/>
      <c r="U31" s="8"/>
      <c r="V31" s="15"/>
      <c r="W31" s="46" t="s">
        <v>12</v>
      </c>
      <c r="X31" s="47"/>
      <c r="Y31" s="48"/>
      <c r="Z31" s="46" t="s">
        <v>13</v>
      </c>
      <c r="AA31" s="47"/>
      <c r="AB31" s="48"/>
      <c r="AC31" s="6"/>
    </row>
    <row r="32" spans="1:29" x14ac:dyDescent="0.25">
      <c r="A32" s="7" t="s">
        <v>4</v>
      </c>
      <c r="B32" s="7" t="s">
        <v>17</v>
      </c>
      <c r="C32" s="6" t="s">
        <v>5</v>
      </c>
      <c r="D32" s="6" t="s">
        <v>6</v>
      </c>
      <c r="E32" s="6" t="s">
        <v>7</v>
      </c>
      <c r="F32" s="6" t="s">
        <v>8</v>
      </c>
      <c r="G32" s="6" t="s">
        <v>9</v>
      </c>
      <c r="H32" s="6" t="s">
        <v>10</v>
      </c>
      <c r="I32" s="6" t="s">
        <v>3</v>
      </c>
      <c r="K32" s="7" t="s">
        <v>4</v>
      </c>
      <c r="L32" s="7" t="s">
        <v>17</v>
      </c>
      <c r="M32" s="6" t="s">
        <v>5</v>
      </c>
      <c r="N32" s="6" t="s">
        <v>6</v>
      </c>
      <c r="O32" s="6" t="s">
        <v>7</v>
      </c>
      <c r="P32" s="6" t="s">
        <v>8</v>
      </c>
      <c r="Q32" s="6" t="s">
        <v>9</v>
      </c>
      <c r="R32" s="6" t="s">
        <v>10</v>
      </c>
      <c r="S32" s="6" t="s">
        <v>3</v>
      </c>
      <c r="U32" s="7" t="s">
        <v>4</v>
      </c>
      <c r="V32" s="7" t="s">
        <v>17</v>
      </c>
      <c r="W32" s="6" t="s">
        <v>5</v>
      </c>
      <c r="X32" s="6" t="s">
        <v>6</v>
      </c>
      <c r="Y32" s="6" t="s">
        <v>7</v>
      </c>
      <c r="Z32" s="6" t="s">
        <v>8</v>
      </c>
      <c r="AA32" s="6" t="s">
        <v>9</v>
      </c>
      <c r="AB32" s="6" t="s">
        <v>10</v>
      </c>
      <c r="AC32" s="6" t="s">
        <v>3</v>
      </c>
    </row>
    <row r="33" spans="1:29" x14ac:dyDescent="0.25">
      <c r="A33" s="29" t="s">
        <v>39</v>
      </c>
      <c r="B33" s="30" t="s">
        <v>19</v>
      </c>
      <c r="C33" s="31">
        <v>0.52463676926527913</v>
      </c>
      <c r="D33" s="31">
        <v>0.55410547621485751</v>
      </c>
      <c r="E33" s="31">
        <v>0.32417011465374673</v>
      </c>
      <c r="F33" s="31">
        <v>6.0558047944687443E-2</v>
      </c>
      <c r="G33" s="31">
        <v>6.500909786228054E-2</v>
      </c>
      <c r="H33" s="31">
        <v>5.1668059171447209E-5</v>
      </c>
      <c r="I33" s="31"/>
      <c r="K33" s="29" t="s">
        <v>69</v>
      </c>
      <c r="L33" s="30" t="s">
        <v>19</v>
      </c>
      <c r="M33" s="31">
        <v>0.55961360062444399</v>
      </c>
      <c r="N33" s="31">
        <v>0.54024504500625303</v>
      </c>
      <c r="O33" s="31">
        <v>0.32531381129245057</v>
      </c>
      <c r="P33" s="31">
        <v>6.2336691756700056E-2</v>
      </c>
      <c r="Q33" s="31">
        <v>6.2457936310098439E-2</v>
      </c>
      <c r="R33" s="31">
        <v>5.2538701675466852E-5</v>
      </c>
      <c r="S33" s="31"/>
      <c r="U33" s="29" t="s">
        <v>70</v>
      </c>
      <c r="V33" s="30" t="s">
        <v>19</v>
      </c>
      <c r="W33" s="31">
        <v>5.7260736434481652E-2</v>
      </c>
      <c r="X33" s="31">
        <v>5.6567157302794602E-2</v>
      </c>
      <c r="Y33" s="31">
        <v>0.34411175992991105</v>
      </c>
      <c r="Z33" s="31">
        <v>6.2952996666974237E-2</v>
      </c>
      <c r="AA33" s="31">
        <v>6.3934830044179145E-2</v>
      </c>
      <c r="AB33" s="31">
        <v>5.5428715717099233E-5</v>
      </c>
      <c r="AC33" s="31"/>
    </row>
    <row r="34" spans="1:29" x14ac:dyDescent="0.25">
      <c r="A34" s="4" t="s">
        <v>61</v>
      </c>
      <c r="B34" s="4"/>
      <c r="C34" s="5"/>
      <c r="D34" s="5"/>
      <c r="E34" s="5"/>
      <c r="F34" s="5"/>
      <c r="G34" s="5"/>
      <c r="H34" s="5"/>
      <c r="I34" s="5"/>
      <c r="K34" s="4" t="s">
        <v>61</v>
      </c>
      <c r="L34" s="4"/>
      <c r="M34" s="5"/>
      <c r="N34" s="5"/>
      <c r="O34" s="5"/>
      <c r="P34" s="5"/>
      <c r="Q34" s="5"/>
      <c r="R34" s="5"/>
      <c r="S34" s="5"/>
      <c r="U34" s="4" t="s">
        <v>61</v>
      </c>
      <c r="V34" s="4"/>
      <c r="W34" s="5"/>
      <c r="X34" s="5"/>
      <c r="Y34" s="5"/>
      <c r="Z34" s="5"/>
      <c r="AA34" s="5"/>
      <c r="AB34" s="5"/>
      <c r="AC34" s="5"/>
    </row>
    <row r="35" spans="1:29" x14ac:dyDescent="0.25">
      <c r="A35" s="1" t="s">
        <v>59</v>
      </c>
      <c r="B35" s="1">
        <v>1</v>
      </c>
      <c r="K35" s="1" t="s">
        <v>59</v>
      </c>
      <c r="L35" s="1">
        <v>0</v>
      </c>
      <c r="U35" s="1" t="s">
        <v>59</v>
      </c>
      <c r="V35" s="1">
        <v>0</v>
      </c>
    </row>
    <row r="37" spans="1:29" x14ac:dyDescent="0.25">
      <c r="C37" s="43"/>
      <c r="D37" s="43"/>
      <c r="E37" s="43"/>
      <c r="F37" s="43"/>
      <c r="G37" s="43"/>
      <c r="H37" s="43"/>
    </row>
    <row r="57" spans="1:11" hidden="1" x14ac:dyDescent="0.25"/>
    <row r="59" spans="1:11" hidden="1" x14ac:dyDescent="0.25">
      <c r="A59" s="12" t="s">
        <v>58</v>
      </c>
      <c r="B59" s="12" t="s">
        <v>35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4" t="s">
        <v>37</v>
      </c>
    </row>
    <row r="64" spans="1:11" x14ac:dyDescent="0.25">
      <c r="A64" s="4" t="s">
        <v>33</v>
      </c>
      <c r="B64" s="4"/>
      <c r="C64" s="5"/>
      <c r="D64" s="5"/>
      <c r="E64" s="5"/>
      <c r="F64" s="5"/>
      <c r="G64" s="5"/>
      <c r="H64" s="5"/>
      <c r="I64" s="5"/>
      <c r="K64" t="s">
        <v>54</v>
      </c>
    </row>
    <row r="65" spans="1:17" x14ac:dyDescent="0.25">
      <c r="A65" s="8"/>
      <c r="B65" s="15"/>
      <c r="C65" s="46" t="s">
        <v>12</v>
      </c>
      <c r="D65" s="47"/>
      <c r="E65" s="48"/>
      <c r="F65" s="46" t="s">
        <v>13</v>
      </c>
      <c r="G65" s="47"/>
      <c r="H65" s="48"/>
      <c r="I65" s="6"/>
    </row>
    <row r="66" spans="1:17" x14ac:dyDescent="0.25">
      <c r="A66" s="7" t="s">
        <v>4</v>
      </c>
      <c r="B66" s="7" t="s">
        <v>17</v>
      </c>
      <c r="C66" s="6" t="s">
        <v>5</v>
      </c>
      <c r="D66" s="6" t="s">
        <v>6</v>
      </c>
      <c r="E66" s="6" t="s">
        <v>7</v>
      </c>
      <c r="F66" s="6" t="s">
        <v>8</v>
      </c>
      <c r="G66" s="6" t="s">
        <v>9</v>
      </c>
      <c r="H66" s="6" t="s">
        <v>10</v>
      </c>
      <c r="I66" s="6" t="s">
        <v>3</v>
      </c>
      <c r="K66" t="str">
        <f>A66</f>
        <v>Vector Name</v>
      </c>
      <c r="L66" t="str">
        <f>C66</f>
        <v>X</v>
      </c>
      <c r="M66" t="str">
        <f t="shared" ref="M66:Q69" si="9">D66</f>
        <v>Y</v>
      </c>
      <c r="N66" t="str">
        <f t="shared" si="9"/>
        <v>Z</v>
      </c>
      <c r="O66" t="str">
        <f t="shared" si="9"/>
        <v>Tx</v>
      </c>
      <c r="P66" t="str">
        <f t="shared" si="9"/>
        <v>Ty</v>
      </c>
      <c r="Q66" t="str">
        <f>H66</f>
        <v>Tz</v>
      </c>
    </row>
    <row r="67" spans="1:17" x14ac:dyDescent="0.25">
      <c r="A67" s="29" t="s">
        <v>39</v>
      </c>
      <c r="B67" s="30" t="s">
        <v>19</v>
      </c>
      <c r="C67" s="31">
        <v>0.53768502236009053</v>
      </c>
      <c r="D67" s="31">
        <v>0.52405816090151047</v>
      </c>
      <c r="E67" s="31">
        <v>0.33364688437816131</v>
      </c>
      <c r="F67" s="31">
        <v>6.5377323939310492E-2</v>
      </c>
      <c r="G67" s="31">
        <v>6.323730504299202E-2</v>
      </c>
      <c r="H67" s="31">
        <v>5.399956711587486E-5</v>
      </c>
      <c r="I67" s="31"/>
      <c r="K67" t="str">
        <f>A67</f>
        <v>Re_CS0_CS1</v>
      </c>
      <c r="L67" s="38">
        <f t="shared" ref="L67:L69" si="10">C67</f>
        <v>0.53768502236009053</v>
      </c>
      <c r="M67" s="38">
        <f t="shared" si="9"/>
        <v>0.52405816090151047</v>
      </c>
      <c r="N67" s="38">
        <f t="shared" si="9"/>
        <v>0.33364688437816131</v>
      </c>
      <c r="O67" s="38">
        <f t="shared" si="9"/>
        <v>6.5377323939310492E-2</v>
      </c>
      <c r="P67" s="38">
        <f t="shared" si="9"/>
        <v>6.323730504299202E-2</v>
      </c>
      <c r="Q67" s="38">
        <f t="shared" si="9"/>
        <v>5.399956711587486E-5</v>
      </c>
    </row>
    <row r="68" spans="1:17" x14ac:dyDescent="0.25">
      <c r="A68" s="29" t="s">
        <v>40</v>
      </c>
      <c r="B68" s="30" t="s">
        <v>19</v>
      </c>
      <c r="C68" s="31">
        <v>5.0188016790379569E-2</v>
      </c>
      <c r="D68" s="31">
        <v>0.35964268314955439</v>
      </c>
      <c r="E68" s="31">
        <v>0.55539839802202517</v>
      </c>
      <c r="F68" s="31">
        <v>0.31792528909111695</v>
      </c>
      <c r="G68" s="31">
        <v>6.2706709388616125E-2</v>
      </c>
      <c r="H68" s="31">
        <v>4.3526973066535093E-2</v>
      </c>
      <c r="I68" s="31"/>
      <c r="K68" t="str">
        <f>A68</f>
        <v>Re_CS0_CS2</v>
      </c>
      <c r="L68" s="38">
        <f t="shared" si="10"/>
        <v>5.0188016790379569E-2</v>
      </c>
      <c r="M68" s="38">
        <f t="shared" si="9"/>
        <v>0.35964268314955439</v>
      </c>
      <c r="N68" s="38">
        <f t="shared" si="9"/>
        <v>0.55539839802202517</v>
      </c>
      <c r="O68" s="38">
        <f t="shared" si="9"/>
        <v>0.31792528909111695</v>
      </c>
      <c r="P68" s="38">
        <f t="shared" si="9"/>
        <v>6.2706709388616125E-2</v>
      </c>
      <c r="Q68" s="38">
        <f t="shared" si="9"/>
        <v>4.3526973066535093E-2</v>
      </c>
    </row>
    <row r="69" spans="1:17" x14ac:dyDescent="0.25">
      <c r="A69" s="29" t="s">
        <v>41</v>
      </c>
      <c r="B69" s="30" t="s">
        <v>19</v>
      </c>
      <c r="C69" s="31">
        <v>5.0583291553579698E-2</v>
      </c>
      <c r="D69" s="31">
        <v>5.0381174077331933E-2</v>
      </c>
      <c r="E69" s="31">
        <v>5.0738767853048976E-2</v>
      </c>
      <c r="F69" s="31">
        <v>1.0232861595298041E-3</v>
      </c>
      <c r="G69" s="31">
        <v>1.0225196828371804E-3</v>
      </c>
      <c r="H69" s="31">
        <v>1.3368581788470012E-3</v>
      </c>
      <c r="I69" s="31"/>
      <c r="K69" t="str">
        <f>A69</f>
        <v>Re_CS0_CS3</v>
      </c>
      <c r="L69" s="38">
        <f t="shared" si="10"/>
        <v>5.0583291553579698E-2</v>
      </c>
      <c r="M69" s="38">
        <f t="shared" si="9"/>
        <v>5.0381174077331933E-2</v>
      </c>
      <c r="N69" s="38">
        <f t="shared" si="9"/>
        <v>5.0738767853048976E-2</v>
      </c>
      <c r="O69" s="38">
        <f t="shared" si="9"/>
        <v>1.0232861595298041E-3</v>
      </c>
      <c r="P69" s="38">
        <f t="shared" si="9"/>
        <v>1.0225196828371804E-3</v>
      </c>
      <c r="Q69" s="38">
        <f t="shared" si="9"/>
        <v>1.3368581788470012E-3</v>
      </c>
    </row>
  </sheetData>
  <mergeCells count="29">
    <mergeCell ref="M31:O31"/>
    <mergeCell ref="P31:R31"/>
    <mergeCell ref="W5:Y5"/>
    <mergeCell ref="Z5:AB5"/>
    <mergeCell ref="W21:Y21"/>
    <mergeCell ref="Z21:AB21"/>
    <mergeCell ref="W31:Y31"/>
    <mergeCell ref="Z31:AB31"/>
    <mergeCell ref="P5:R5"/>
    <mergeCell ref="M21:O21"/>
    <mergeCell ref="P21:R21"/>
    <mergeCell ref="N26:O26"/>
    <mergeCell ref="N27:O27"/>
    <mergeCell ref="N28:O28"/>
    <mergeCell ref="M5:O5"/>
    <mergeCell ref="X26:Y26"/>
    <mergeCell ref="X27:Y27"/>
    <mergeCell ref="X28:Y28"/>
    <mergeCell ref="C5:E5"/>
    <mergeCell ref="F5:H5"/>
    <mergeCell ref="C21:E21"/>
    <mergeCell ref="F21:H21"/>
    <mergeCell ref="D26:E26"/>
    <mergeCell ref="C65:E65"/>
    <mergeCell ref="F65:H65"/>
    <mergeCell ref="C31:E31"/>
    <mergeCell ref="F31:H31"/>
    <mergeCell ref="D27:E27"/>
    <mergeCell ref="D28:E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06264-B8FF-4DB6-868E-77C26B45CBF7}">
  <dimension ref="A1:Q32"/>
  <sheetViews>
    <sheetView zoomScaleNormal="100" workbookViewId="0">
      <selection activeCell="A5" sqref="A5:I30"/>
    </sheetView>
  </sheetViews>
  <sheetFormatPr defaultRowHeight="15" x14ac:dyDescent="0.25"/>
  <cols>
    <col min="1" max="1" width="31.5703125" style="1" customWidth="1"/>
    <col min="2" max="2" width="14.28515625" style="1" customWidth="1"/>
    <col min="3" max="8" width="8.7109375" bestFit="1" customWidth="1"/>
    <col min="9" max="9" width="31" customWidth="1"/>
    <col min="11" max="11" width="14.7109375" hidden="1" customWidth="1"/>
    <col min="12" max="17" width="0" hidden="1" customWidth="1"/>
  </cols>
  <sheetData>
    <row r="1" spans="1:9" x14ac:dyDescent="0.25">
      <c r="A1" s="3" t="s">
        <v>72</v>
      </c>
      <c r="B1" s="3"/>
    </row>
    <row r="4" spans="1:9" x14ac:dyDescent="0.25">
      <c r="A4" s="2"/>
      <c r="B4" s="2"/>
      <c r="C4" s="9"/>
      <c r="D4" s="9"/>
      <c r="E4" s="9"/>
      <c r="F4" s="9"/>
      <c r="G4" s="9"/>
      <c r="H4" s="9"/>
    </row>
    <row r="5" spans="1:9" x14ac:dyDescent="0.25">
      <c r="A5" s="4" t="s">
        <v>42</v>
      </c>
      <c r="B5" s="4"/>
      <c r="C5" s="5"/>
      <c r="D5" s="5"/>
      <c r="E5" s="5"/>
      <c r="F5" s="5"/>
      <c r="G5" s="5"/>
      <c r="H5" s="5"/>
      <c r="I5" s="5"/>
    </row>
    <row r="6" spans="1:9" x14ac:dyDescent="0.25">
      <c r="A6" s="40" t="s">
        <v>60</v>
      </c>
      <c r="B6" s="7" t="s">
        <v>66</v>
      </c>
      <c r="C6" s="46" t="s">
        <v>12</v>
      </c>
      <c r="D6" s="47"/>
      <c r="E6" s="48"/>
      <c r="F6" s="46" t="s">
        <v>13</v>
      </c>
      <c r="G6" s="47"/>
      <c r="H6" s="48"/>
      <c r="I6" s="6"/>
    </row>
    <row r="7" spans="1:9" x14ac:dyDescent="0.25">
      <c r="A7" s="7" t="s">
        <v>4</v>
      </c>
      <c r="B7" s="7" t="s">
        <v>17</v>
      </c>
      <c r="C7" s="6" t="s">
        <v>5</v>
      </c>
      <c r="D7" s="6" t="s">
        <v>6</v>
      </c>
      <c r="E7" s="6" t="s">
        <v>7</v>
      </c>
      <c r="F7" s="6" t="s">
        <v>8</v>
      </c>
      <c r="G7" s="6" t="s">
        <v>9</v>
      </c>
      <c r="H7" s="6" t="s">
        <v>10</v>
      </c>
      <c r="I7" s="6" t="s">
        <v>3</v>
      </c>
    </row>
    <row r="8" spans="1:9" x14ac:dyDescent="0.25">
      <c r="A8" s="16" t="s">
        <v>11</v>
      </c>
      <c r="B8" s="16" t="s">
        <v>18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f>PI()/4</f>
        <v>0.78539816339744828</v>
      </c>
      <c r="I8" s="18"/>
    </row>
    <row r="9" spans="1:9" x14ac:dyDescent="0.25">
      <c r="A9" s="16" t="s">
        <v>20</v>
      </c>
      <c r="B9" s="16" t="s">
        <v>18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f t="shared" ref="H9:H10" si="0">PI()/4</f>
        <v>0.78539816339744828</v>
      </c>
      <c r="I9" s="32"/>
    </row>
    <row r="10" spans="1:9" x14ac:dyDescent="0.25">
      <c r="A10" s="16" t="s">
        <v>21</v>
      </c>
      <c r="B10" s="16" t="s">
        <v>18</v>
      </c>
      <c r="C10" s="17">
        <v>1</v>
      </c>
      <c r="D10" s="17">
        <v>0</v>
      </c>
      <c r="E10" s="17">
        <v>0</v>
      </c>
      <c r="F10" s="17">
        <v>0</v>
      </c>
      <c r="G10" s="17">
        <v>0</v>
      </c>
      <c r="H10" s="17">
        <f t="shared" si="0"/>
        <v>0.78539816339744828</v>
      </c>
      <c r="I10" s="32"/>
    </row>
    <row r="11" spans="1:9" x14ac:dyDescent="0.25">
      <c r="A11" s="4" t="s">
        <v>16</v>
      </c>
      <c r="B11" s="4"/>
      <c r="C11" s="5"/>
      <c r="D11" s="5"/>
      <c r="E11" s="5"/>
      <c r="F11" s="5"/>
      <c r="G11" s="5"/>
      <c r="H11" s="5"/>
      <c r="I11" s="10"/>
    </row>
    <row r="12" spans="1:9" x14ac:dyDescent="0.25">
      <c r="A12" s="20" t="s">
        <v>23</v>
      </c>
      <c r="B12" s="20" t="s">
        <v>22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2"/>
    </row>
    <row r="13" spans="1:9" x14ac:dyDescent="0.25">
      <c r="A13" s="20" t="s">
        <v>24</v>
      </c>
      <c r="B13" s="20" t="s">
        <v>22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37"/>
    </row>
    <row r="14" spans="1:9" x14ac:dyDescent="0.25">
      <c r="A14" s="20" t="s">
        <v>24</v>
      </c>
      <c r="B14" s="20" t="s">
        <v>22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37"/>
    </row>
    <row r="15" spans="1:9" x14ac:dyDescent="0.25">
      <c r="A15" s="4" t="s">
        <v>36</v>
      </c>
      <c r="B15" s="4"/>
      <c r="C15" s="5"/>
      <c r="D15" s="5"/>
      <c r="E15" s="5"/>
      <c r="F15" s="5"/>
      <c r="G15" s="5"/>
      <c r="H15" s="5"/>
      <c r="I15" s="5"/>
    </row>
    <row r="16" spans="1:9" x14ac:dyDescent="0.25">
      <c r="A16" s="7"/>
      <c r="B16" s="7"/>
      <c r="C16" s="46" t="s">
        <v>12</v>
      </c>
      <c r="D16" s="47"/>
      <c r="E16" s="48"/>
      <c r="F16" s="46" t="s">
        <v>13</v>
      </c>
      <c r="G16" s="47"/>
      <c r="H16" s="48"/>
      <c r="I16" s="6"/>
    </row>
    <row r="17" spans="1:17" x14ac:dyDescent="0.25">
      <c r="A17" s="7" t="s">
        <v>4</v>
      </c>
      <c r="B17" s="7" t="s">
        <v>17</v>
      </c>
      <c r="C17" s="6" t="s">
        <v>5</v>
      </c>
      <c r="D17" s="6" t="s">
        <v>6</v>
      </c>
      <c r="E17" s="6" t="s">
        <v>7</v>
      </c>
      <c r="F17" s="6" t="s">
        <v>8</v>
      </c>
      <c r="G17" s="6" t="s">
        <v>9</v>
      </c>
      <c r="H17" s="6" t="s">
        <v>10</v>
      </c>
      <c r="I17" s="6" t="s">
        <v>3</v>
      </c>
    </row>
    <row r="18" spans="1:17" x14ac:dyDescent="0.25">
      <c r="A18" s="26" t="s">
        <v>55</v>
      </c>
      <c r="B18" s="26" t="s">
        <v>15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8" t="s">
        <v>36</v>
      </c>
    </row>
    <row r="19" spans="1:17" x14ac:dyDescent="0.25">
      <c r="A19" s="26" t="s">
        <v>57</v>
      </c>
      <c r="B19" s="26" t="s">
        <v>15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8" t="s">
        <v>36</v>
      </c>
    </row>
    <row r="20" spans="1:17" x14ac:dyDescent="0.25">
      <c r="A20" s="12" t="s">
        <v>56</v>
      </c>
      <c r="B20" s="12" t="s">
        <v>35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4" t="s">
        <v>37</v>
      </c>
    </row>
    <row r="21" spans="1:17" x14ac:dyDescent="0.25">
      <c r="A21" s="12" t="s">
        <v>58</v>
      </c>
      <c r="B21" s="12" t="s">
        <v>35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4" t="s">
        <v>37</v>
      </c>
    </row>
    <row r="22" spans="1:17" x14ac:dyDescent="0.25">
      <c r="A22" s="4" t="s">
        <v>26</v>
      </c>
      <c r="B22" s="4"/>
      <c r="C22" s="5"/>
      <c r="D22" s="5"/>
      <c r="E22" s="5"/>
      <c r="F22" s="5"/>
      <c r="G22" s="5"/>
      <c r="H22" s="5"/>
      <c r="I22" s="5"/>
    </row>
    <row r="23" spans="1:17" x14ac:dyDescent="0.25">
      <c r="A23" s="7" t="s">
        <v>4</v>
      </c>
      <c r="B23" s="7" t="s">
        <v>17</v>
      </c>
      <c r="C23" s="7" t="s">
        <v>0</v>
      </c>
      <c r="D23" s="49" t="s">
        <v>1</v>
      </c>
      <c r="E23" s="49"/>
      <c r="F23" s="39"/>
    </row>
    <row r="24" spans="1:17" x14ac:dyDescent="0.25">
      <c r="A24" s="24" t="s">
        <v>27</v>
      </c>
      <c r="B24" s="24" t="s">
        <v>28</v>
      </c>
      <c r="C24" s="42">
        <v>1000</v>
      </c>
      <c r="D24" s="45" t="s">
        <v>29</v>
      </c>
      <c r="E24" s="45"/>
    </row>
    <row r="25" spans="1:17" x14ac:dyDescent="0.25">
      <c r="A25" s="24" t="s">
        <v>32</v>
      </c>
      <c r="B25" s="24" t="s">
        <v>30</v>
      </c>
      <c r="C25" s="25">
        <v>3</v>
      </c>
      <c r="D25" s="45" t="s">
        <v>31</v>
      </c>
      <c r="E25" s="45"/>
    </row>
    <row r="26" spans="1:17" x14ac:dyDescent="0.25">
      <c r="A26" s="24" t="s">
        <v>62</v>
      </c>
      <c r="B26" s="24" t="s">
        <v>65</v>
      </c>
      <c r="C26" s="41" t="s">
        <v>63</v>
      </c>
      <c r="D26" s="25" t="s">
        <v>73</v>
      </c>
      <c r="E26" s="25"/>
    </row>
    <row r="27" spans="1:17" x14ac:dyDescent="0.25">
      <c r="A27" s="4" t="s">
        <v>33</v>
      </c>
      <c r="B27" s="4"/>
      <c r="C27" s="5"/>
      <c r="D27" s="5"/>
      <c r="E27" s="5"/>
      <c r="F27" s="5"/>
      <c r="G27" s="5"/>
      <c r="H27" s="5"/>
      <c r="I27" s="5"/>
      <c r="K27" t="s">
        <v>54</v>
      </c>
    </row>
    <row r="28" spans="1:17" x14ac:dyDescent="0.25">
      <c r="A28" s="8"/>
      <c r="B28" s="15"/>
      <c r="C28" s="46" t="s">
        <v>12</v>
      </c>
      <c r="D28" s="47"/>
      <c r="E28" s="48"/>
      <c r="F28" s="46" t="s">
        <v>13</v>
      </c>
      <c r="G28" s="47"/>
      <c r="H28" s="48"/>
      <c r="I28" s="6"/>
    </row>
    <row r="29" spans="1:17" x14ac:dyDescent="0.25">
      <c r="A29" s="7" t="s">
        <v>4</v>
      </c>
      <c r="B29" s="7" t="s">
        <v>17</v>
      </c>
      <c r="C29" s="6" t="s">
        <v>5</v>
      </c>
      <c r="D29" s="6" t="s">
        <v>6</v>
      </c>
      <c r="E29" s="6" t="s">
        <v>7</v>
      </c>
      <c r="F29" s="6" t="s">
        <v>8</v>
      </c>
      <c r="G29" s="6" t="s">
        <v>9</v>
      </c>
      <c r="H29" s="6" t="s">
        <v>10</v>
      </c>
      <c r="I29" s="6" t="s">
        <v>3</v>
      </c>
      <c r="K29" t="str">
        <f>A29</f>
        <v>Vector Name</v>
      </c>
      <c r="L29" t="str">
        <f>C29</f>
        <v>X</v>
      </c>
      <c r="M29" t="str">
        <f t="shared" ref="M29:Q30" si="1">D29</f>
        <v>Y</v>
      </c>
      <c r="N29" t="str">
        <f t="shared" si="1"/>
        <v>Z</v>
      </c>
      <c r="O29" t="str">
        <f t="shared" si="1"/>
        <v>Tx</v>
      </c>
      <c r="P29" t="str">
        <f t="shared" si="1"/>
        <v>Ty</v>
      </c>
      <c r="Q29" t="str">
        <f>H29</f>
        <v>Tz</v>
      </c>
    </row>
    <row r="30" spans="1:17" x14ac:dyDescent="0.25">
      <c r="A30" s="29" t="s">
        <v>41</v>
      </c>
      <c r="B30" s="30" t="s">
        <v>19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/>
      <c r="K30" t="str">
        <f>A30</f>
        <v>Re_CS0_CS3</v>
      </c>
      <c r="L30" s="38">
        <f t="shared" ref="L30" si="2">C30</f>
        <v>0</v>
      </c>
      <c r="M30" s="38">
        <f t="shared" si="1"/>
        <v>0</v>
      </c>
      <c r="N30" s="38">
        <f t="shared" si="1"/>
        <v>0</v>
      </c>
      <c r="O30" s="38">
        <f t="shared" si="1"/>
        <v>0</v>
      </c>
      <c r="P30" s="38">
        <f t="shared" si="1"/>
        <v>0</v>
      </c>
      <c r="Q30" s="38">
        <f t="shared" si="1"/>
        <v>0</v>
      </c>
    </row>
    <row r="31" spans="1:17" x14ac:dyDescent="0.25">
      <c r="A31" s="4" t="s">
        <v>61</v>
      </c>
      <c r="B31" s="4"/>
      <c r="C31" s="5"/>
      <c r="D31" s="5"/>
      <c r="E31" s="5"/>
      <c r="F31" s="5"/>
      <c r="G31" s="5"/>
      <c r="H31" s="5"/>
      <c r="I31" s="5"/>
    </row>
    <row r="32" spans="1:17" x14ac:dyDescent="0.25">
      <c r="A32" s="1" t="s">
        <v>59</v>
      </c>
      <c r="B32" s="1">
        <v>0</v>
      </c>
    </row>
  </sheetData>
  <mergeCells count="9">
    <mergeCell ref="D25:E25"/>
    <mergeCell ref="C28:E28"/>
    <mergeCell ref="F28:H28"/>
    <mergeCell ref="C6:E6"/>
    <mergeCell ref="F6:H6"/>
    <mergeCell ref="C16:E16"/>
    <mergeCell ref="F16:H16"/>
    <mergeCell ref="D23:E23"/>
    <mergeCell ref="D24:E24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119BA-2207-475B-AD63-DD6546888AD3}">
  <dimension ref="A1:Q48"/>
  <sheetViews>
    <sheetView topLeftCell="A9" zoomScaleNormal="100" workbookViewId="0">
      <selection activeCell="H18" sqref="A5:I48"/>
    </sheetView>
  </sheetViews>
  <sheetFormatPr defaultRowHeight="15" x14ac:dyDescent="0.25"/>
  <cols>
    <col min="1" max="1" width="31.5703125" style="1" customWidth="1"/>
    <col min="2" max="2" width="14.28515625" style="1" customWidth="1"/>
    <col min="3" max="8" width="8.7109375" bestFit="1" customWidth="1"/>
    <col min="9" max="9" width="31" customWidth="1"/>
    <col min="11" max="11" width="14.7109375" hidden="1" customWidth="1"/>
    <col min="12" max="17" width="0" hidden="1" customWidth="1"/>
  </cols>
  <sheetData>
    <row r="1" spans="1:10" x14ac:dyDescent="0.25">
      <c r="A1" s="3" t="s">
        <v>80</v>
      </c>
      <c r="B1" s="3"/>
    </row>
    <row r="4" spans="1:10" x14ac:dyDescent="0.25">
      <c r="A4" s="2"/>
      <c r="B4" s="2"/>
      <c r="C4" s="9"/>
      <c r="D4" s="9"/>
      <c r="E4" s="9"/>
      <c r="F4" s="9"/>
      <c r="G4" s="9"/>
      <c r="H4" s="9"/>
    </row>
    <row r="5" spans="1:10" x14ac:dyDescent="0.25">
      <c r="A5" s="4" t="s">
        <v>42</v>
      </c>
      <c r="B5" s="4"/>
      <c r="C5" s="5"/>
      <c r="D5" s="5"/>
      <c r="E5" s="5"/>
      <c r="F5" s="5"/>
      <c r="G5" s="5"/>
      <c r="H5" s="5"/>
      <c r="I5" s="5"/>
    </row>
    <row r="6" spans="1:10" x14ac:dyDescent="0.25">
      <c r="A6" s="40" t="s">
        <v>60</v>
      </c>
      <c r="B6" s="7" t="s">
        <v>66</v>
      </c>
      <c r="C6" s="46" t="s">
        <v>12</v>
      </c>
      <c r="D6" s="47"/>
      <c r="E6" s="48"/>
      <c r="F6" s="46" t="s">
        <v>13</v>
      </c>
      <c r="G6" s="47"/>
      <c r="H6" s="48"/>
      <c r="I6" s="6"/>
    </row>
    <row r="7" spans="1:10" x14ac:dyDescent="0.25">
      <c r="A7" s="7" t="s">
        <v>4</v>
      </c>
      <c r="B7" s="7" t="s">
        <v>17</v>
      </c>
      <c r="C7" s="6" t="s">
        <v>5</v>
      </c>
      <c r="D7" s="6" t="s">
        <v>6</v>
      </c>
      <c r="E7" s="6" t="s">
        <v>7</v>
      </c>
      <c r="F7" s="6" t="s">
        <v>8</v>
      </c>
      <c r="G7" s="6" t="s">
        <v>9</v>
      </c>
      <c r="H7" s="6" t="s">
        <v>10</v>
      </c>
      <c r="I7" s="6" t="s">
        <v>3</v>
      </c>
      <c r="J7" s="44"/>
    </row>
    <row r="8" spans="1:10" x14ac:dyDescent="0.25">
      <c r="A8" s="16" t="s">
        <v>11</v>
      </c>
      <c r="B8" s="16" t="s">
        <v>18</v>
      </c>
      <c r="C8" s="17">
        <v>1</v>
      </c>
      <c r="D8" s="17">
        <v>0</v>
      </c>
      <c r="E8" s="17">
        <v>0</v>
      </c>
      <c r="F8" s="17">
        <v>0.16700000000000001</v>
      </c>
      <c r="G8" s="17">
        <v>0</v>
      </c>
      <c r="H8" s="17">
        <f>4*PI()/12</f>
        <v>1.0471975511965976</v>
      </c>
      <c r="I8" s="18"/>
      <c r="J8" s="17"/>
    </row>
    <row r="9" spans="1:10" x14ac:dyDescent="0.25">
      <c r="A9" s="16" t="s">
        <v>20</v>
      </c>
      <c r="B9" s="16" t="s">
        <v>18</v>
      </c>
      <c r="C9" s="17">
        <v>1</v>
      </c>
      <c r="D9" s="17">
        <v>0</v>
      </c>
      <c r="E9" s="17">
        <v>0</v>
      </c>
      <c r="F9" s="17">
        <v>0.16700000000000001</v>
      </c>
      <c r="G9" s="17">
        <v>0</v>
      </c>
      <c r="H9" s="17">
        <f t="shared" ref="H9:H19" si="0">4*PI()/12</f>
        <v>1.0471975511965976</v>
      </c>
      <c r="I9" s="32"/>
      <c r="J9" s="17"/>
    </row>
    <row r="10" spans="1:10" x14ac:dyDescent="0.25">
      <c r="A10" s="16" t="s">
        <v>21</v>
      </c>
      <c r="B10" s="16" t="s">
        <v>18</v>
      </c>
      <c r="C10" s="17">
        <v>1</v>
      </c>
      <c r="D10" s="17">
        <v>0</v>
      </c>
      <c r="E10" s="17">
        <v>0</v>
      </c>
      <c r="F10" s="17">
        <v>0.16700000000000001</v>
      </c>
      <c r="G10" s="17">
        <v>0</v>
      </c>
      <c r="H10" s="17">
        <f t="shared" si="0"/>
        <v>1.0471975511965976</v>
      </c>
      <c r="I10" s="32"/>
      <c r="J10" s="17"/>
    </row>
    <row r="11" spans="1:10" x14ac:dyDescent="0.25">
      <c r="A11" s="16" t="s">
        <v>46</v>
      </c>
      <c r="B11" s="16" t="s">
        <v>18</v>
      </c>
      <c r="C11" s="17">
        <v>1</v>
      </c>
      <c r="D11" s="17">
        <v>0</v>
      </c>
      <c r="E11" s="17">
        <v>0</v>
      </c>
      <c r="F11" s="17">
        <v>0.16700000000000001</v>
      </c>
      <c r="G11" s="17">
        <v>0</v>
      </c>
      <c r="H11" s="17">
        <f t="shared" si="0"/>
        <v>1.0471975511965976</v>
      </c>
      <c r="I11" s="18"/>
      <c r="J11" s="17"/>
    </row>
    <row r="12" spans="1:10" x14ac:dyDescent="0.25">
      <c r="A12" s="16" t="s">
        <v>47</v>
      </c>
      <c r="B12" s="16" t="s">
        <v>18</v>
      </c>
      <c r="C12" s="17">
        <v>1</v>
      </c>
      <c r="D12" s="17">
        <v>0</v>
      </c>
      <c r="E12" s="17">
        <v>0</v>
      </c>
      <c r="F12" s="17">
        <v>0.16700000000000001</v>
      </c>
      <c r="G12" s="17">
        <v>0</v>
      </c>
      <c r="H12" s="17">
        <f t="shared" si="0"/>
        <v>1.0471975511965976</v>
      </c>
      <c r="I12" s="32"/>
      <c r="J12" s="17"/>
    </row>
    <row r="13" spans="1:10" x14ac:dyDescent="0.25">
      <c r="A13" s="16" t="s">
        <v>50</v>
      </c>
      <c r="B13" s="16" t="s">
        <v>18</v>
      </c>
      <c r="C13" s="17">
        <v>1</v>
      </c>
      <c r="D13" s="17">
        <v>0</v>
      </c>
      <c r="E13" s="17">
        <v>0</v>
      </c>
      <c r="F13" s="17">
        <v>0.16700000000000001</v>
      </c>
      <c r="G13" s="17">
        <v>0</v>
      </c>
      <c r="H13" s="17">
        <f t="shared" si="0"/>
        <v>1.0471975511965976</v>
      </c>
      <c r="I13" s="32"/>
      <c r="J13" s="17"/>
    </row>
    <row r="14" spans="1:10" x14ac:dyDescent="0.25">
      <c r="A14" s="16" t="s">
        <v>74</v>
      </c>
      <c r="B14" s="16" t="s">
        <v>18</v>
      </c>
      <c r="C14" s="17">
        <v>1</v>
      </c>
      <c r="D14" s="17">
        <v>0</v>
      </c>
      <c r="E14" s="17">
        <v>0</v>
      </c>
      <c r="F14" s="17">
        <v>0.16700000000000001</v>
      </c>
      <c r="G14" s="17">
        <v>0</v>
      </c>
      <c r="H14" s="17">
        <f t="shared" si="0"/>
        <v>1.0471975511965976</v>
      </c>
      <c r="I14" s="18"/>
      <c r="J14" s="17"/>
    </row>
    <row r="15" spans="1:10" x14ac:dyDescent="0.25">
      <c r="A15" s="16" t="s">
        <v>75</v>
      </c>
      <c r="B15" s="16" t="s">
        <v>18</v>
      </c>
      <c r="C15" s="17">
        <v>1</v>
      </c>
      <c r="D15" s="17">
        <v>0</v>
      </c>
      <c r="E15" s="17">
        <v>0</v>
      </c>
      <c r="F15" s="17">
        <v>0.16700000000000001</v>
      </c>
      <c r="G15" s="17">
        <v>0</v>
      </c>
      <c r="H15" s="17">
        <f t="shared" si="0"/>
        <v>1.0471975511965976</v>
      </c>
      <c r="I15" s="32"/>
      <c r="J15" s="17"/>
    </row>
    <row r="16" spans="1:10" x14ac:dyDescent="0.25">
      <c r="A16" s="16" t="s">
        <v>76</v>
      </c>
      <c r="B16" s="16" t="s">
        <v>18</v>
      </c>
      <c r="C16" s="17">
        <v>1</v>
      </c>
      <c r="D16" s="17">
        <v>0</v>
      </c>
      <c r="E16" s="17">
        <v>0</v>
      </c>
      <c r="F16" s="17">
        <v>0.16700000000000001</v>
      </c>
      <c r="G16" s="17">
        <v>0</v>
      </c>
      <c r="H16" s="17">
        <f t="shared" si="0"/>
        <v>1.0471975511965976</v>
      </c>
      <c r="I16" s="32"/>
      <c r="J16" s="17"/>
    </row>
    <row r="17" spans="1:10" x14ac:dyDescent="0.25">
      <c r="A17" s="16" t="s">
        <v>77</v>
      </c>
      <c r="B17" s="16" t="s">
        <v>18</v>
      </c>
      <c r="C17" s="17">
        <v>1</v>
      </c>
      <c r="D17" s="17">
        <v>0</v>
      </c>
      <c r="E17" s="17">
        <v>0</v>
      </c>
      <c r="F17" s="17">
        <v>0.16700000000000001</v>
      </c>
      <c r="G17" s="17">
        <v>0</v>
      </c>
      <c r="H17" s="17">
        <f t="shared" si="0"/>
        <v>1.0471975511965976</v>
      </c>
      <c r="I17" s="18"/>
      <c r="J17" s="17"/>
    </row>
    <row r="18" spans="1:10" x14ac:dyDescent="0.25">
      <c r="A18" s="16" t="s">
        <v>78</v>
      </c>
      <c r="B18" s="16" t="s">
        <v>18</v>
      </c>
      <c r="C18" s="17">
        <v>1</v>
      </c>
      <c r="D18" s="17">
        <v>0</v>
      </c>
      <c r="E18" s="17">
        <v>0</v>
      </c>
      <c r="F18" s="17">
        <v>0.16700000000000001</v>
      </c>
      <c r="G18" s="17">
        <v>0</v>
      </c>
      <c r="H18" s="17">
        <f t="shared" si="0"/>
        <v>1.0471975511965976</v>
      </c>
      <c r="I18" s="32"/>
      <c r="J18" s="17"/>
    </row>
    <row r="19" spans="1:10" x14ac:dyDescent="0.25">
      <c r="A19" s="16" t="s">
        <v>79</v>
      </c>
      <c r="B19" s="16" t="s">
        <v>18</v>
      </c>
      <c r="C19" s="17">
        <v>1</v>
      </c>
      <c r="D19" s="17">
        <v>0</v>
      </c>
      <c r="E19" s="17">
        <v>0</v>
      </c>
      <c r="F19" s="17">
        <v>0.16700000000000001</v>
      </c>
      <c r="G19" s="17">
        <v>0</v>
      </c>
      <c r="H19" s="17">
        <f t="shared" si="0"/>
        <v>1.0471975511965976</v>
      </c>
      <c r="I19" s="32"/>
      <c r="J19" s="17"/>
    </row>
    <row r="20" spans="1:10" x14ac:dyDescent="0.25">
      <c r="A20" s="4" t="s">
        <v>16</v>
      </c>
      <c r="B20" s="4"/>
      <c r="C20" s="5"/>
      <c r="D20" s="5"/>
      <c r="E20" s="5"/>
      <c r="F20" s="5"/>
      <c r="G20" s="5"/>
      <c r="H20" s="5"/>
      <c r="I20" s="10"/>
    </row>
    <row r="21" spans="1:10" x14ac:dyDescent="0.25">
      <c r="A21" s="20" t="s">
        <v>23</v>
      </c>
      <c r="B21" s="20" t="s">
        <v>22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2"/>
      <c r="J21" s="9"/>
    </row>
    <row r="22" spans="1:10" x14ac:dyDescent="0.25">
      <c r="A22" s="20" t="s">
        <v>24</v>
      </c>
      <c r="B22" s="20" t="s">
        <v>22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37"/>
      <c r="J22" s="9"/>
    </row>
    <row r="23" spans="1:10" x14ac:dyDescent="0.25">
      <c r="A23" s="20" t="s">
        <v>24</v>
      </c>
      <c r="B23" s="20" t="s">
        <v>22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37"/>
      <c r="J23" s="9"/>
    </row>
    <row r="24" spans="1:10" x14ac:dyDescent="0.25">
      <c r="A24" s="20" t="s">
        <v>23</v>
      </c>
      <c r="B24" s="20" t="s">
        <v>22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2"/>
      <c r="J24" s="9"/>
    </row>
    <row r="25" spans="1:10" x14ac:dyDescent="0.25">
      <c r="A25" s="20" t="s">
        <v>24</v>
      </c>
      <c r="B25" s="20" t="s">
        <v>22</v>
      </c>
      <c r="C25" s="21">
        <v>0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37"/>
      <c r="J25" s="9"/>
    </row>
    <row r="26" spans="1:10" x14ac:dyDescent="0.25">
      <c r="A26" s="20" t="s">
        <v>24</v>
      </c>
      <c r="B26" s="20" t="s">
        <v>22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37"/>
      <c r="J26" s="9"/>
    </row>
    <row r="27" spans="1:10" x14ac:dyDescent="0.25">
      <c r="A27" s="20" t="s">
        <v>23</v>
      </c>
      <c r="B27" s="20" t="s">
        <v>22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2"/>
      <c r="J27" s="9"/>
    </row>
    <row r="28" spans="1:10" x14ac:dyDescent="0.25">
      <c r="A28" s="20" t="s">
        <v>24</v>
      </c>
      <c r="B28" s="20" t="s">
        <v>22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37"/>
      <c r="J28" s="9"/>
    </row>
    <row r="29" spans="1:10" x14ac:dyDescent="0.25">
      <c r="A29" s="20" t="s">
        <v>24</v>
      </c>
      <c r="B29" s="20" t="s">
        <v>22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37"/>
      <c r="J29" s="9"/>
    </row>
    <row r="30" spans="1:10" x14ac:dyDescent="0.25">
      <c r="A30" s="20" t="s">
        <v>23</v>
      </c>
      <c r="B30" s="20" t="s">
        <v>22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2"/>
      <c r="J30" s="9"/>
    </row>
    <row r="31" spans="1:10" x14ac:dyDescent="0.25">
      <c r="A31" s="20" t="s">
        <v>24</v>
      </c>
      <c r="B31" s="20" t="s">
        <v>22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37"/>
      <c r="J31" s="9"/>
    </row>
    <row r="32" spans="1:10" x14ac:dyDescent="0.25">
      <c r="A32" s="20" t="s">
        <v>24</v>
      </c>
      <c r="B32" s="20" t="s">
        <v>22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37"/>
      <c r="J32" s="9"/>
    </row>
    <row r="33" spans="1:17" x14ac:dyDescent="0.25">
      <c r="A33" s="4" t="s">
        <v>36</v>
      </c>
      <c r="B33" s="4"/>
      <c r="C33" s="5"/>
      <c r="D33" s="5"/>
      <c r="E33" s="5"/>
      <c r="F33" s="5"/>
      <c r="G33" s="5"/>
      <c r="H33" s="5"/>
      <c r="I33" s="5"/>
    </row>
    <row r="34" spans="1:17" x14ac:dyDescent="0.25">
      <c r="A34" s="7"/>
      <c r="B34" s="7"/>
      <c r="C34" s="46" t="s">
        <v>12</v>
      </c>
      <c r="D34" s="47"/>
      <c r="E34" s="48"/>
      <c r="F34" s="46" t="s">
        <v>13</v>
      </c>
      <c r="G34" s="47"/>
      <c r="H34" s="48"/>
      <c r="I34" s="6"/>
    </row>
    <row r="35" spans="1:17" x14ac:dyDescent="0.25">
      <c r="A35" s="7" t="s">
        <v>4</v>
      </c>
      <c r="B35" s="7" t="s">
        <v>17</v>
      </c>
      <c r="C35" s="6" t="s">
        <v>5</v>
      </c>
      <c r="D35" s="6" t="s">
        <v>6</v>
      </c>
      <c r="E35" s="6" t="s">
        <v>7</v>
      </c>
      <c r="F35" s="6" t="s">
        <v>8</v>
      </c>
      <c r="G35" s="6" t="s">
        <v>9</v>
      </c>
      <c r="H35" s="6" t="s">
        <v>10</v>
      </c>
      <c r="I35" s="6" t="s">
        <v>3</v>
      </c>
    </row>
    <row r="36" spans="1:17" x14ac:dyDescent="0.25">
      <c r="A36" s="26" t="s">
        <v>55</v>
      </c>
      <c r="B36" s="26" t="s">
        <v>15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8" t="s">
        <v>36</v>
      </c>
    </row>
    <row r="37" spans="1:17" x14ac:dyDescent="0.25">
      <c r="A37" s="12" t="s">
        <v>56</v>
      </c>
      <c r="B37" s="12" t="s">
        <v>35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4" t="s">
        <v>37</v>
      </c>
    </row>
    <row r="38" spans="1:17" x14ac:dyDescent="0.25">
      <c r="A38" s="4" t="s">
        <v>26</v>
      </c>
      <c r="B38" s="4"/>
      <c r="C38" s="5"/>
      <c r="D38" s="5"/>
      <c r="E38" s="5"/>
      <c r="F38" s="5"/>
      <c r="G38" s="5"/>
      <c r="H38" s="5"/>
      <c r="I38" s="5"/>
    </row>
    <row r="39" spans="1:17" x14ac:dyDescent="0.25">
      <c r="A39" s="7" t="s">
        <v>4</v>
      </c>
      <c r="B39" s="7" t="s">
        <v>17</v>
      </c>
      <c r="C39" s="7" t="s">
        <v>0</v>
      </c>
      <c r="D39" s="49" t="s">
        <v>1</v>
      </c>
      <c r="E39" s="49"/>
      <c r="F39" s="39"/>
    </row>
    <row r="40" spans="1:17" x14ac:dyDescent="0.25">
      <c r="A40" s="24" t="s">
        <v>27</v>
      </c>
      <c r="B40" s="24" t="s">
        <v>28</v>
      </c>
      <c r="C40" s="42">
        <v>1000</v>
      </c>
      <c r="D40" s="45" t="s">
        <v>29</v>
      </c>
      <c r="E40" s="45"/>
    </row>
    <row r="41" spans="1:17" x14ac:dyDescent="0.25">
      <c r="A41" s="24" t="s">
        <v>32</v>
      </c>
      <c r="B41" s="24" t="s">
        <v>30</v>
      </c>
      <c r="C41" s="25">
        <v>3</v>
      </c>
      <c r="D41" s="45" t="s">
        <v>31</v>
      </c>
      <c r="E41" s="45"/>
    </row>
    <row r="42" spans="1:17" x14ac:dyDescent="0.25">
      <c r="A42" s="24" t="s">
        <v>62</v>
      </c>
      <c r="B42" s="24" t="s">
        <v>65</v>
      </c>
      <c r="C42" s="41" t="s">
        <v>63</v>
      </c>
      <c r="D42" s="25" t="s">
        <v>73</v>
      </c>
      <c r="E42" s="25"/>
    </row>
    <row r="43" spans="1:17" x14ac:dyDescent="0.25">
      <c r="A43" s="4" t="s">
        <v>33</v>
      </c>
      <c r="B43" s="4"/>
      <c r="C43" s="5"/>
      <c r="D43" s="5"/>
      <c r="E43" s="5"/>
      <c r="F43" s="5"/>
      <c r="G43" s="5"/>
      <c r="H43" s="5"/>
      <c r="I43" s="5"/>
      <c r="K43" t="s">
        <v>54</v>
      </c>
    </row>
    <row r="44" spans="1:17" x14ac:dyDescent="0.25">
      <c r="A44" s="8"/>
      <c r="B44" s="15"/>
      <c r="C44" s="46" t="s">
        <v>12</v>
      </c>
      <c r="D44" s="47"/>
      <c r="E44" s="48"/>
      <c r="F44" s="46" t="s">
        <v>13</v>
      </c>
      <c r="G44" s="47"/>
      <c r="H44" s="48"/>
      <c r="I44" s="6"/>
    </row>
    <row r="45" spans="1:17" x14ac:dyDescent="0.25">
      <c r="A45" s="7" t="s">
        <v>4</v>
      </c>
      <c r="B45" s="7" t="s">
        <v>17</v>
      </c>
      <c r="C45" s="6" t="s">
        <v>5</v>
      </c>
      <c r="D45" s="6" t="s">
        <v>6</v>
      </c>
      <c r="E45" s="6" t="s">
        <v>7</v>
      </c>
      <c r="F45" s="6" t="s">
        <v>8</v>
      </c>
      <c r="G45" s="6" t="s">
        <v>9</v>
      </c>
      <c r="H45" s="6" t="s">
        <v>10</v>
      </c>
      <c r="I45" s="6" t="s">
        <v>3</v>
      </c>
      <c r="K45" t="str">
        <f>A45</f>
        <v>Vector Name</v>
      </c>
      <c r="L45" t="str">
        <f>C45</f>
        <v>X</v>
      </c>
      <c r="M45" t="str">
        <f t="shared" ref="M45:Q46" si="1">D45</f>
        <v>Y</v>
      </c>
      <c r="N45" t="str">
        <f t="shared" si="1"/>
        <v>Z</v>
      </c>
      <c r="O45" t="str">
        <f t="shared" si="1"/>
        <v>Tx</v>
      </c>
      <c r="P45" t="str">
        <f t="shared" si="1"/>
        <v>Ty</v>
      </c>
      <c r="Q45" t="str">
        <f>H45</f>
        <v>Tz</v>
      </c>
    </row>
    <row r="46" spans="1:17" x14ac:dyDescent="0.25">
      <c r="A46" s="29" t="s">
        <v>41</v>
      </c>
      <c r="B46" s="30" t="s">
        <v>19</v>
      </c>
      <c r="C46" s="31">
        <v>0</v>
      </c>
      <c r="D46" s="31">
        <v>0</v>
      </c>
      <c r="E46" s="31">
        <v>0</v>
      </c>
      <c r="F46" s="31">
        <v>0</v>
      </c>
      <c r="G46" s="31">
        <v>0</v>
      </c>
      <c r="H46" s="31">
        <v>0</v>
      </c>
      <c r="I46" s="31"/>
      <c r="K46" t="str">
        <f>A46</f>
        <v>Re_CS0_CS3</v>
      </c>
      <c r="L46" s="38">
        <f t="shared" ref="L46" si="2">C46</f>
        <v>0</v>
      </c>
      <c r="M46" s="38">
        <f t="shared" si="1"/>
        <v>0</v>
      </c>
      <c r="N46" s="38">
        <f t="shared" si="1"/>
        <v>0</v>
      </c>
      <c r="O46" s="38">
        <f t="shared" si="1"/>
        <v>0</v>
      </c>
      <c r="P46" s="38">
        <f t="shared" si="1"/>
        <v>0</v>
      </c>
      <c r="Q46" s="38">
        <f t="shared" si="1"/>
        <v>0</v>
      </c>
    </row>
    <row r="47" spans="1:17" x14ac:dyDescent="0.25">
      <c r="A47" s="4" t="s">
        <v>61</v>
      </c>
      <c r="B47" s="4"/>
      <c r="C47" s="5"/>
      <c r="D47" s="5"/>
      <c r="E47" s="5"/>
      <c r="F47" s="5"/>
      <c r="G47" s="5"/>
      <c r="H47" s="5"/>
      <c r="I47" s="5"/>
    </row>
    <row r="48" spans="1:17" x14ac:dyDescent="0.25">
      <c r="A48" s="1" t="s">
        <v>59</v>
      </c>
      <c r="B48" s="1">
        <v>1</v>
      </c>
    </row>
  </sheetData>
  <mergeCells count="9">
    <mergeCell ref="D41:E41"/>
    <mergeCell ref="C44:E44"/>
    <mergeCell ref="F44:H44"/>
    <mergeCell ref="C6:E6"/>
    <mergeCell ref="F6:H6"/>
    <mergeCell ref="C34:E34"/>
    <mergeCell ref="F34:H34"/>
    <mergeCell ref="D39:E39"/>
    <mergeCell ref="D40:E40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9234DA7483FB459CDDCFBD699E8AB6" ma:contentTypeVersion="13" ma:contentTypeDescription="Create a new document." ma:contentTypeScope="" ma:versionID="3f7206b8afd768ae63d16fd6d799dfb4">
  <xsd:schema xmlns:xsd="http://www.w3.org/2001/XMLSchema" xmlns:xs="http://www.w3.org/2001/XMLSchema" xmlns:p="http://schemas.microsoft.com/office/2006/metadata/properties" xmlns:ns3="7d5420f2-a1e8-4afa-a52e-75a8a8141b9a" xmlns:ns4="c0d17589-4d0e-4e5b-b325-ec8c16a86cc3" targetNamespace="http://schemas.microsoft.com/office/2006/metadata/properties" ma:root="true" ma:fieldsID="3a569fb8e3cecd02cb92b2c72f5cf293" ns3:_="" ns4:_="">
    <xsd:import namespace="7d5420f2-a1e8-4afa-a52e-75a8a8141b9a"/>
    <xsd:import namespace="c0d17589-4d0e-4e5b-b325-ec8c16a86cc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5420f2-a1e8-4afa-a52e-75a8a8141b9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17589-4d0e-4e5b-b325-ec8c16a86c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A1AD97-EC20-4BCD-9995-E7F9D67CA0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5420f2-a1e8-4afa-a52e-75a8a8141b9a"/>
    <ds:schemaRef ds:uri="c0d17589-4d0e-4e5b-b325-ec8c16a86c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2012B1-D69D-4B4B-BD86-04053F3E92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2CAE50-2F1F-4036-9BDE-3178FFC470C0}">
  <ds:schemaRefs>
    <ds:schemaRef ds:uri="c0d17589-4d0e-4e5b-b325-ec8c16a86cc3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7d5420f2-a1e8-4afa-a52e-75a8a8141b9a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ASPE</vt:lpstr>
      <vt:lpstr>SingleStack</vt:lpstr>
      <vt:lpstr>3Stack</vt:lpstr>
      <vt:lpstr>TS_Stack</vt:lpstr>
      <vt:lpstr>HeliStack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Seawright, Tyler</dc:creator>
  <cp:lastModifiedBy>Tyler Seawright</cp:lastModifiedBy>
  <dcterms:created xsi:type="dcterms:W3CDTF">2019-11-04T17:07:18Z</dcterms:created>
  <dcterms:modified xsi:type="dcterms:W3CDTF">2026-09-01T02:34:59Z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0x0101007E9234DA7483FB459CDDCFBD699E8AB6</vt:lpwstr>
  </property>
</Properties>
</file>